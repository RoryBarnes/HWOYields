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HIP 32439 (Detection)" sheetId="2" r:id="rId5"/>
    <sheet state="visible" name="HIP 77052 (Detection)" sheetId="3" r:id="rId6"/>
    <sheet state="visible" name="HIP 79672 (Detection)" sheetId="4" r:id="rId7"/>
    <sheet state="visible" name="HIP 26779 (Detection)" sheetId="5" r:id="rId8"/>
    <sheet state="visible" name="HIP 113283 (Detection)"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4">
      <text>
        <t xml:space="preserve">EBS zodi flux does not depend on pointing--it uses the canonical 23 mags arcsec^-2. This value is consistent with that assumption. Given that zodi won't drive exposure time, we leave it as it is.</t>
      </text>
    </comment>
    <comment authorId="0" ref="F34">
      <text>
        <t xml:space="preserve">This zodi value is a bit higher than AYO, but is consistent with pointing assumed for this observation (see solar longitude above). C. Stark checked the relative increase in exozodi one would expect compared to AYO for the given change in solar longitude and it was in agreement with this value. Given that zodi won't drive exposure time, we leave it as it is.
</t>
      </text>
    </comment>
    <comment authorId="0" ref="D39">
      <text>
        <t xml:space="preserve">AYO chooses it's photometric aperture based on a ratio of the PSF to the PSF peak. Normally I choose ~0.3 as the default ratio, but that led to larger Omega_core than EBS and ExoSIMS. So I tuned this ratio to 0.373 to achieve the same Omega_core
</t>
      </text>
    </comment>
    <comment authorId="0" ref="D44">
      <text>
        <t xml:space="preserve">This is calculated as 1/CR_det, where CR_det is the peak count rate per pixel assuming a planet 10x as bright as an Earth twin at quadrature at the IWA. Note that for EBS &amp; ExoSIMS, this is an input to the code and they had to adjust it to the value AYO is using
</t>
      </text>
    </comment>
    <comment authorId="0" ref="D58">
      <text>
        <t xml:space="preserve">I'm using the same noise floor approach here (NF = 0.029 * contrast) as EBS and ExoSIMS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Had to tune AYO PSF ratio to 0.401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Had to tune AYO PSF ratio to 0.373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Had to tune AYO PSF ratio to 0.427</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Tuned AYO PSF ratio to 0.4135
</t>
      </text>
    </comment>
  </commentList>
</comments>
</file>

<file path=xl/sharedStrings.xml><?xml version="1.0" encoding="utf-8"?>
<sst xmlns="http://schemas.openxmlformats.org/spreadsheetml/2006/main" count="850" uniqueCount="167">
  <si>
    <t>This google sheet is for ETC cross-model validation.</t>
  </si>
  <si>
    <t>This is for broadband detections only, not spectral characterization.</t>
  </si>
  <si>
    <r>
      <rPr/>
      <t xml:space="preserve">For a complete list of assumed parameters, go here: </t>
    </r>
    <r>
      <rPr>
        <color rgb="FF1155CC"/>
        <u/>
      </rPr>
      <t>https://drive.google.com/file/d/1pQ0AIlRWHi350blQ4azuOf13rLkQkmef/view?usp=drive_link</t>
    </r>
  </si>
  <si>
    <t>Note that the list of parameters above was defined assuming lambda = 500 nm. In this sheet we also consider lambda = 1000 nm. When doing so, we adjust all astrophysical fluxes, separations in l/D, etc., but we do not change any of the throughputs or QEs. In reality these are wavelength-dependent quantities, but for simplicity here we keep them the same.</t>
  </si>
  <si>
    <t>Broadband detection. Use USORT OVC with default diameter</t>
  </si>
  <si>
    <t>Find full list of assumptions here: https://drive.google.com/file/d/1pQ0AIlRWHi350blQ4azuOf13rLkQkmef/view?usp=drive_link</t>
  </si>
  <si>
    <t>Fiducial Star: HIP 32439</t>
  </si>
  <si>
    <t>lambda = 500 nm</t>
  </si>
  <si>
    <t>lambda = 1000 nm</t>
  </si>
  <si>
    <t>Person / Code</t>
  </si>
  <si>
    <t>Parameter</t>
  </si>
  <si>
    <t>Description</t>
  </si>
  <si>
    <t>Units</t>
  </si>
  <si>
    <t>C. Stark / AYO</t>
  </si>
  <si>
    <t xml:space="preserve">S. Steiger / EBS </t>
  </si>
  <si>
    <t>A. Tokadjian / EXOSIMS</t>
  </si>
  <si>
    <r>
      <rPr>
        <b/>
      </rPr>
      <t xml:space="preserve">P. Plavchan / </t>
    </r>
    <r>
      <rPr>
        <b/>
        <color rgb="FF1155CC"/>
        <u/>
      </rPr>
      <t>https://github.com/plavchan/dgraphsPPP</t>
    </r>
  </si>
  <si>
    <t>V. Kofman / PSG</t>
  </si>
  <si>
    <r>
      <rPr>
        <b/>
      </rPr>
      <t xml:space="preserve">P. Plavchan / </t>
    </r>
    <r>
      <rPr>
        <b/>
        <color rgb="FF1155CC"/>
        <u/>
      </rPr>
      <t>https://github.com/plavchan/dgraphsPPP</t>
    </r>
  </si>
  <si>
    <t>Basic parameters</t>
  </si>
  <si>
    <t>Expected to be inputs to the code</t>
  </si>
  <si>
    <t>F_0</t>
  </si>
  <si>
    <t>Flux zero point</t>
  </si>
  <si>
    <t>photons cm^-2 nm^-1 s^-1</t>
  </si>
  <si>
    <t>(not used; Sun as blackbody approx, so solar radius and 5772K; can translate later)</t>
  </si>
  <si>
    <t>m_lambda</t>
  </si>
  <si>
    <t>apparent magnitude at lambda</t>
  </si>
  <si>
    <t>(not used)</t>
  </si>
  <si>
    <t>L_star</t>
  </si>
  <si>
    <t>bolometric luminosity of star</t>
  </si>
  <si>
    <t>L_Sun</t>
  </si>
  <si>
    <t>dist</t>
  </si>
  <si>
    <t>distance to star</t>
  </si>
  <si>
    <t>pc</t>
  </si>
  <si>
    <t>D</t>
  </si>
  <si>
    <t>circumscribed diameter of telescope</t>
  </si>
  <si>
    <t>m</t>
  </si>
  <si>
    <t>varies</t>
  </si>
  <si>
    <t>A</t>
  </si>
  <si>
    <t>collecting area of telescope</t>
  </si>
  <si>
    <t>cm^2</t>
  </si>
  <si>
    <t>Pi r^2</t>
  </si>
  <si>
    <t>λ</t>
  </si>
  <si>
    <t>Central wavelength of bandpass</t>
  </si>
  <si>
    <t>nm</t>
  </si>
  <si>
    <t>varies, 500</t>
  </si>
  <si>
    <t>Δλ</t>
  </si>
  <si>
    <t>Bandwidth</t>
  </si>
  <si>
    <t>varies, 140</t>
  </si>
  <si>
    <t>nzodis</t>
  </si>
  <si>
    <t># of zodis</t>
  </si>
  <si>
    <t>SNR</t>
  </si>
  <si>
    <t>Required signal to noise ratio</t>
  </si>
  <si>
    <t>varies,5,7</t>
  </si>
  <si>
    <t>t_overhead,static</t>
  </si>
  <si>
    <t>Fixed overhead (additive)</t>
  </si>
  <si>
    <t>s</t>
  </si>
  <si>
    <t>t_overhead,dynamic</t>
  </si>
  <si>
    <t>Dynamic overhead (factor that mulitplies exposure time)</t>
  </si>
  <si>
    <t>det_DC</t>
  </si>
  <si>
    <t>Dark current</t>
  </si>
  <si>
    <t>counts pix^-1 s^-1</t>
  </si>
  <si>
    <t>det_RN</t>
  </si>
  <si>
    <t>Read noise</t>
  </si>
  <si>
    <t>counts pix^-1 read^-1</t>
  </si>
  <si>
    <t>det_CIC</t>
  </si>
  <si>
    <t>Clock induced charge</t>
  </si>
  <si>
    <t>counts pix^-1 photon_count^-1</t>
  </si>
  <si>
    <t>det_tread</t>
  </si>
  <si>
    <t>Time between reads</t>
  </si>
  <si>
    <t>-</t>
  </si>
  <si>
    <t>det_pixscale</t>
  </si>
  <si>
    <t>Detector pixel scale</t>
  </si>
  <si>
    <t>mas</t>
  </si>
  <si>
    <t>dQE</t>
  </si>
  <si>
    <t>Effective QE due to degradation, cosmic ray effects, readout inefficiencies</t>
  </si>
  <si>
    <t>QE</t>
  </si>
  <si>
    <t>Quantum efficiency of detector</t>
  </si>
  <si>
    <t>T_optical</t>
  </si>
  <si>
    <t>Optical throughput (incl. reflectivities, transmissivities, contamination)</t>
  </si>
  <si>
    <t>Solar longitude</t>
  </si>
  <si>
    <t>angle between Sun and pointing vector in the ecliptic during the observation</t>
  </si>
  <si>
    <t>deg</t>
  </si>
  <si>
    <t>Ecliptic latitude</t>
  </si>
  <si>
    <t>ecliptic latitude of target during observation</t>
  </si>
  <si>
    <t>Astrophysical fluxes</t>
  </si>
  <si>
    <t>Fluxes from various astrophysical sources independent of telescope/instrument</t>
  </si>
  <si>
    <t>F_star</t>
  </si>
  <si>
    <t>Astrophysical stellar flux, i.e. F0 * 10^(-0.4 m_v)</t>
  </si>
  <si>
    <t>solar</t>
  </si>
  <si>
    <t>F_p</t>
  </si>
  <si>
    <t>Astrophysical planet flux, i.e. F0 * 10^(-0.4 (m_v+dmag))</t>
  </si>
  <si>
    <t>10^-10</t>
  </si>
  <si>
    <t>F_zodi</t>
  </si>
  <si>
    <t>Astrophysical zodi surface brightness, i.e. F0 * 10^(-0.4 * z), where z is the mag per unit solid angle</t>
  </si>
  <si>
    <t>photons cm^-2 nm^-1 s^-1 arcsec^-2</t>
  </si>
  <si>
    <t>F_exozodi</t>
  </si>
  <si>
    <t>Astrophysical exozodi surface brightness at sp, i.e. F0 * 10^(-0.4 * z), where z is the mag per unit solid angle</t>
  </si>
  <si>
    <t>Intermediate parameters</t>
  </si>
  <si>
    <t>Some key values calculated on the fly to determine count rates</t>
  </si>
  <si>
    <t>sp</t>
  </si>
  <si>
    <t>Stellocentric distance of planet</t>
  </si>
  <si>
    <t>λ/D, where D is the circumscribed diameter</t>
  </si>
  <si>
    <t>Ω_core</t>
  </si>
  <si>
    <t>Solid angle of photometric aperture</t>
  </si>
  <si>
    <t>(λ/D)^2, where D is the circumscribed diameter</t>
  </si>
  <si>
    <t>T_core</t>
  </si>
  <si>
    <t>Core throughput of coronagraph at sp_lod used for planet</t>
  </si>
  <si>
    <t>I_star</t>
  </si>
  <si>
    <t>Offset PSF peak at sp * contrast at sp</t>
  </si>
  <si>
    <t>(λ/D)^-2, where D is the circumscribed diameter</t>
  </si>
  <si>
    <t>skytrans</t>
  </si>
  <si>
    <t>Core throughput assumed for zodi/exozodi</t>
  </si>
  <si>
    <t>det_npix</t>
  </si>
  <si>
    <t># of pixels used for detector noise calculations</t>
  </si>
  <si>
    <t>t_photon_count</t>
  </si>
  <si>
    <t>1/(detector photon count rate), for calculation of clock induced charge noise rate</t>
  </si>
  <si>
    <t>C_binary</t>
  </si>
  <si>
    <t>count rate of the binary star at the detector w/out accounting for the contrast value or skytrans/core throughput (i.e., astrophysical flux x attenuation x collecting area x dlambda)</t>
  </si>
  <si>
    <t>photons s^-1</t>
  </si>
  <si>
    <t>contrast_binary</t>
  </si>
  <si>
    <t>The contrast value applied from the PSF leakage input file</t>
  </si>
  <si>
    <t>s_binary</t>
  </si>
  <si>
    <t>The separation of the binary</t>
  </si>
  <si>
    <t>Count rates</t>
  </si>
  <si>
    <t>Count rates of various sources measured in the photometric aperture at the detector plane</t>
  </si>
  <si>
    <t>Check on CR_p</t>
  </si>
  <si>
    <t>CR_p</t>
  </si>
  <si>
    <t>Planet count rate in photometric aperture at detector</t>
  </si>
  <si>
    <t>counts s^-1</t>
  </si>
  <si>
    <t>Check on CR_bs</t>
  </si>
  <si>
    <t>CR_bs</t>
  </si>
  <si>
    <t>Leaked starlight count rate in photometric aperture at detector</t>
  </si>
  <si>
    <t>CR_bz</t>
  </si>
  <si>
    <t>Zodi count rate in photometric aperture at detector</t>
  </si>
  <si>
    <t>CR_bez</t>
  </si>
  <si>
    <t>Exozodi count rate in photometric aperture at detector</t>
  </si>
  <si>
    <t>CR_bstray</t>
  </si>
  <si>
    <t>Stray light from binary companion in photometric aperture at detector</t>
  </si>
  <si>
    <t>CR_bd</t>
  </si>
  <si>
    <t>Detector noise count rate in photometric aperture at detector</t>
  </si>
  <si>
    <t>CR_NF</t>
  </si>
  <si>
    <t>Noise floor count rate in photometric aperture at detector</t>
  </si>
  <si>
    <t>Final times</t>
  </si>
  <si>
    <t>Check on t_science (AYO equation)</t>
  </si>
  <si>
    <t>Check on t_science (EXOSIMS equation)</t>
  </si>
  <si>
    <t>t_science</t>
  </si>
  <si>
    <t>Science exposure time</t>
  </si>
  <si>
    <t>9.75xstellar blackbody approx.  9.75 represents impact of additional noise terms besides photon noise. would have to calculate for this star in particular; formula for factor is 1+2xslope of linear fit of C_p0 as a function of C_b from Table 7 of Morgan et al 2019 final report</t>
  </si>
  <si>
    <t>t_exp</t>
  </si>
  <si>
    <t>Total wall clock time including overheads</t>
  </si>
  <si>
    <t>Fiducial Star: HIP 77052</t>
  </si>
  <si>
    <r>
      <rPr>
        <b/>
      </rPr>
      <t xml:space="preserve">P. Plavchan / </t>
    </r>
    <r>
      <rPr>
        <b/>
        <color rgb="FF1155CC"/>
        <u/>
      </rPr>
      <t>https://github.com/plavchan/dgraphsPPP</t>
    </r>
  </si>
  <si>
    <r>
      <rPr>
        <b/>
      </rPr>
      <t xml:space="preserve">P. Plavchan / </t>
    </r>
    <r>
      <rPr>
        <b/>
        <color rgb="FF1155CC"/>
        <u/>
      </rPr>
      <t>https://github.com/plavchan/dgraphsPPP</t>
    </r>
  </si>
  <si>
    <t>Check on CR_bstray</t>
  </si>
  <si>
    <t>Fiducial Star: HIP 79672</t>
  </si>
  <si>
    <r>
      <rPr>
        <b/>
      </rPr>
      <t xml:space="preserve">P. Plavchan / </t>
    </r>
    <r>
      <rPr>
        <b/>
        <color rgb="FF1155CC"/>
        <u/>
      </rPr>
      <t>https://github.com/plavchan/dgraphsPPP</t>
    </r>
  </si>
  <si>
    <r>
      <rPr>
        <b/>
      </rPr>
      <t xml:space="preserve">P. Plavchan / </t>
    </r>
    <r>
      <rPr>
        <b/>
        <color rgb="FF1155CC"/>
        <u/>
      </rPr>
      <t>https://github.com/plavchan/dgraphsPPP</t>
    </r>
  </si>
  <si>
    <t>Fiducial Star: HIP 26779</t>
  </si>
  <si>
    <r>
      <rPr>
        <b/>
      </rPr>
      <t xml:space="preserve">P. Plavchan / </t>
    </r>
    <r>
      <rPr>
        <b/>
        <color rgb="FF1155CC"/>
        <u/>
      </rPr>
      <t>https://github.com/plavchan/dgraphsPPP</t>
    </r>
  </si>
  <si>
    <r>
      <rPr>
        <b/>
      </rPr>
      <t xml:space="preserve">P. Plavchan / </t>
    </r>
    <r>
      <rPr>
        <b/>
        <color rgb="FF1155CC"/>
        <u/>
      </rPr>
      <t>https://github.com/plavchan/dgraphsPPP</t>
    </r>
  </si>
  <si>
    <t>Fiducial Star: HIP 113283</t>
  </si>
  <si>
    <t>S. Steiger / EBS</t>
  </si>
  <si>
    <r>
      <rPr>
        <b/>
      </rPr>
      <t xml:space="preserve">P. Plavchan / </t>
    </r>
    <r>
      <rPr>
        <b/>
        <color rgb="FF1155CC"/>
        <u/>
      </rPr>
      <t>https://github.com/plavchan/dgraphsPPP</t>
    </r>
  </si>
  <si>
    <r>
      <rPr>
        <b/>
      </rPr>
      <t xml:space="preserve">P. Plavchan / </t>
    </r>
    <r>
      <rPr>
        <b/>
        <color rgb="FF1155CC"/>
        <u/>
      </rPr>
      <t>https://github.com/plavchan/dgraphsPPP</t>
    </r>
  </si>
  <si>
    <t>Flux zero point at λ</t>
  </si>
  <si>
    <t>Times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</si>
</sst>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
    <numFmt numFmtId="165" formatCode="#,##0.0000"/>
  </numFmts>
  <fonts count="11">
    <font>
      <sz val="10.0"/>
      <color rgb="FF000000"/>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b/>
      <u/>
      <color rgb="FF0000FF"/>
    </font>
    <font>
      <i/>
      <color theme="1"/>
      <name val="Arial"/>
      <scheme val="minor"/>
    </font>
    <font>
      <color rgb="FF000000"/>
      <name val="&quot;Arial&quot;"/>
    </font>
    <font>
      <sz val="8.0"/>
      <color theme="1"/>
      <name val="Arial"/>
      <scheme val="minor"/>
    </font>
    <font>
      <color rgb="FF000000"/>
      <name val="Arial"/>
    </font>
  </fonts>
  <fills count="12">
    <fill>
      <patternFill patternType="none"/>
    </fill>
    <fill>
      <patternFill patternType="lightGray"/>
    </fill>
    <fill>
      <patternFill patternType="solid">
        <fgColor rgb="FF00FFFF"/>
        <bgColor rgb="FF00FFFF"/>
      </patternFill>
    </fill>
    <fill>
      <patternFill patternType="solid">
        <fgColor rgb="FFF4CCCC"/>
        <bgColor rgb="FFF4CCCC"/>
      </patternFill>
    </fill>
    <fill>
      <patternFill patternType="solid">
        <fgColor rgb="FFF3F3F3"/>
        <bgColor rgb="FFF3F3F3"/>
      </patternFill>
    </fill>
    <fill>
      <patternFill patternType="solid">
        <fgColor rgb="FFCFE2F3"/>
        <bgColor rgb="FFCFE2F3"/>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FF0000"/>
        <bgColor rgb="FFFF0000"/>
      </patternFill>
    </fill>
    <fill>
      <patternFill patternType="solid">
        <fgColor rgb="FFFF00FF"/>
        <bgColor rgb="FFFF00FF"/>
      </patternFill>
    </fill>
    <fill>
      <patternFill patternType="solid">
        <fgColor rgb="FFFFFF00"/>
        <bgColor rgb="FFFFFF00"/>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0" numFmtId="0" xfId="0" applyAlignment="1" applyFont="1">
      <alignment horizontal="left" readingOrder="0"/>
    </xf>
    <xf borderId="0" fillId="0" fontId="0" numFmtId="11" xfId="0" applyAlignment="1" applyFont="1" applyNumberFormat="1">
      <alignment horizontal="left" readingOrder="0"/>
    </xf>
    <xf borderId="0" fillId="0" fontId="4" numFmtId="0" xfId="0" applyFont="1"/>
    <xf borderId="0" fillId="0" fontId="4" numFmtId="11" xfId="0" applyFont="1" applyNumberFormat="1"/>
    <xf borderId="0" fillId="0" fontId="1" numFmtId="0" xfId="0" applyAlignment="1" applyFont="1">
      <alignment readingOrder="0" shrinkToFit="0"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readingOrder="0"/>
    </xf>
    <xf borderId="0" fillId="0" fontId="1" numFmtId="11" xfId="0" applyAlignment="1" applyFont="1" applyNumberFormat="1">
      <alignment readingOrder="0"/>
    </xf>
    <xf borderId="0" fillId="4" fontId="1" numFmtId="11" xfId="0" applyAlignment="1" applyFont="1" applyNumberFormat="1">
      <alignment readingOrder="0"/>
    </xf>
    <xf borderId="0" fillId="0" fontId="5" numFmtId="0" xfId="0" applyAlignment="1" applyFont="1">
      <alignment readingOrder="0"/>
    </xf>
    <xf borderId="0" fillId="0" fontId="5" numFmtId="0" xfId="0" applyAlignment="1" applyFont="1">
      <alignment readingOrder="0" shrinkToFit="0" wrapText="0"/>
    </xf>
    <xf borderId="0" fillId="4" fontId="5" numFmtId="0" xfId="0" applyAlignment="1" applyFont="1">
      <alignment readingOrder="0"/>
    </xf>
    <xf borderId="0" fillId="0" fontId="5" numFmtId="11" xfId="0" applyAlignment="1" applyFont="1" applyNumberFormat="1">
      <alignment readingOrder="0"/>
    </xf>
    <xf borderId="0" fillId="4" fontId="5" numFmtId="11" xfId="0" applyAlignment="1" applyFont="1" applyNumberFormat="1">
      <alignment readingOrder="0"/>
    </xf>
    <xf borderId="0" fillId="0" fontId="6" numFmtId="0" xfId="0" applyAlignment="1" applyFont="1">
      <alignment readingOrder="0"/>
    </xf>
    <xf borderId="0" fillId="5" fontId="7" numFmtId="0" xfId="0" applyAlignment="1" applyFill="1" applyFont="1">
      <alignment readingOrder="0"/>
    </xf>
    <xf borderId="0" fillId="5" fontId="7" numFmtId="0" xfId="0" applyAlignment="1" applyFont="1">
      <alignment readingOrder="0" shrinkToFit="0" wrapText="0"/>
    </xf>
    <xf borderId="0" fillId="5" fontId="1" numFmtId="0" xfId="0" applyAlignment="1" applyFont="1">
      <alignment shrinkToFit="0" wrapText="0"/>
    </xf>
    <xf borderId="0" fillId="5" fontId="1" numFmtId="0" xfId="0" applyFont="1"/>
    <xf borderId="0" fillId="5" fontId="1" numFmtId="11" xfId="0" applyFont="1" applyNumberFormat="1"/>
    <xf borderId="0" fillId="4" fontId="1" numFmtId="11" xfId="0" applyAlignment="1" applyFont="1" applyNumberFormat="1">
      <alignment readingOrder="0" shrinkToFit="0" wrapText="0"/>
    </xf>
    <xf borderId="0" fillId="0" fontId="1" numFmtId="11" xfId="0" applyAlignment="1" applyFont="1" applyNumberFormat="1">
      <alignment readingOrder="0" shrinkToFit="0" wrapText="0"/>
    </xf>
    <xf borderId="0" fillId="4" fontId="1" numFmtId="0" xfId="0" applyAlignment="1" applyFont="1">
      <alignment shrinkToFit="0" wrapText="0"/>
    </xf>
    <xf borderId="0" fillId="0" fontId="1" numFmtId="0" xfId="0" applyAlignment="1" applyFont="1">
      <alignment shrinkToFit="0" wrapText="0"/>
    </xf>
    <xf borderId="0" fillId="4" fontId="1" numFmtId="0" xfId="0" applyAlignment="1" applyFont="1">
      <alignment readingOrder="0" shrinkToFit="0" wrapText="0"/>
    </xf>
    <xf borderId="0" fillId="4" fontId="1" numFmtId="11" xfId="0" applyAlignment="1" applyFont="1" applyNumberFormat="1">
      <alignment shrinkToFit="0" wrapText="0"/>
    </xf>
    <xf borderId="0" fillId="0" fontId="8" numFmtId="0" xfId="0" applyAlignment="1" applyFont="1">
      <alignment readingOrder="0"/>
    </xf>
    <xf borderId="0" fillId="0" fontId="0" numFmtId="0" xfId="0" applyAlignment="1" applyFont="1">
      <alignment readingOrder="0"/>
    </xf>
    <xf borderId="0" fillId="0" fontId="8" numFmtId="0" xfId="0" applyAlignment="1" applyFont="1">
      <alignment readingOrder="0" shrinkToFit="0" wrapText="0"/>
    </xf>
    <xf borderId="0" fillId="0" fontId="1" numFmtId="11" xfId="0" applyAlignment="1" applyFont="1" applyNumberFormat="1">
      <alignment shrinkToFit="0" wrapText="0"/>
    </xf>
    <xf borderId="0" fillId="0" fontId="7" numFmtId="0" xfId="0" applyAlignment="1" applyFont="1">
      <alignment readingOrder="0"/>
    </xf>
    <xf borderId="0" fillId="0" fontId="7" numFmtId="0" xfId="0" applyAlignment="1" applyFont="1">
      <alignment readingOrder="0" shrinkToFit="0" wrapText="0"/>
    </xf>
    <xf borderId="0" fillId="5" fontId="1" numFmtId="11" xfId="0" applyAlignment="1" applyFont="1" applyNumberFormat="1">
      <alignment shrinkToFit="0" wrapText="0"/>
    </xf>
    <xf borderId="0" fillId="6" fontId="1" numFmtId="11" xfId="0" applyAlignment="1" applyFill="1" applyFont="1" applyNumberFormat="1">
      <alignment readingOrder="0" shrinkToFit="0" wrapText="0"/>
    </xf>
    <xf borderId="0" fillId="7" fontId="1" numFmtId="11" xfId="0" applyAlignment="1" applyFill="1" applyFont="1" applyNumberFormat="1">
      <alignment readingOrder="0" shrinkToFit="0" wrapText="0"/>
    </xf>
    <xf borderId="0" fillId="4" fontId="1" numFmtId="0" xfId="0" applyFont="1"/>
    <xf borderId="0" fillId="8" fontId="1" numFmtId="11" xfId="0" applyAlignment="1" applyFill="1" applyFont="1" applyNumberFormat="1">
      <alignment shrinkToFit="0" wrapText="0"/>
    </xf>
    <xf borderId="0" fillId="9" fontId="1" numFmtId="11" xfId="0" applyAlignment="1" applyFill="1" applyFont="1" applyNumberFormat="1">
      <alignment readingOrder="0" shrinkToFit="0" wrapText="0"/>
    </xf>
    <xf borderId="0" fillId="9" fontId="1" numFmtId="11" xfId="0" applyAlignment="1" applyFont="1" applyNumberFormat="1">
      <alignment readingOrder="0"/>
    </xf>
    <xf borderId="0" fillId="4" fontId="9" numFmtId="11" xfId="0" applyAlignment="1" applyFont="1" applyNumberFormat="1">
      <alignment shrinkToFit="0" wrapText="0"/>
    </xf>
    <xf borderId="0" fillId="7" fontId="1" numFmtId="0" xfId="0" applyFont="1"/>
    <xf borderId="0" fillId="5" fontId="1" numFmtId="0" xfId="0" applyAlignment="1" applyFont="1">
      <alignment readingOrder="0" shrinkToFit="0" wrapText="0"/>
    </xf>
    <xf borderId="0" fillId="10" fontId="5" numFmtId="0" xfId="0" applyAlignment="1" applyFill="1" applyFont="1">
      <alignment readingOrder="0"/>
    </xf>
    <xf borderId="0" fillId="10" fontId="1" numFmtId="0" xfId="0" applyAlignment="1" applyFont="1">
      <alignment readingOrder="0" shrinkToFit="0" wrapText="0"/>
    </xf>
    <xf borderId="0" fillId="10" fontId="1" numFmtId="11" xfId="0" applyAlignment="1" applyFont="1" applyNumberFormat="1">
      <alignment shrinkToFit="0" wrapText="0"/>
    </xf>
    <xf borderId="0" fillId="10" fontId="1" numFmtId="0" xfId="0" applyAlignment="1" applyFont="1">
      <alignment shrinkToFit="0" wrapText="0"/>
    </xf>
    <xf borderId="0" fillId="10" fontId="1" numFmtId="11" xfId="0" applyAlignment="1" applyFont="1" applyNumberFormat="1">
      <alignment readingOrder="0" shrinkToFit="0" wrapText="0"/>
    </xf>
    <xf borderId="0" fillId="0" fontId="1" numFmtId="164" xfId="0" applyAlignment="1" applyFont="1" applyNumberFormat="1">
      <alignment shrinkToFit="0" wrapText="0"/>
    </xf>
    <xf borderId="0" fillId="7" fontId="1" numFmtId="0" xfId="0" applyAlignment="1" applyFont="1">
      <alignment shrinkToFit="0" wrapText="0"/>
    </xf>
    <xf borderId="0" fillId="10" fontId="1" numFmtId="11" xfId="0" applyFont="1" applyNumberFormat="1"/>
    <xf borderId="0" fillId="0" fontId="1" numFmtId="11" xfId="0" applyFont="1" applyNumberFormat="1"/>
    <xf borderId="0" fillId="4" fontId="1" numFmtId="11" xfId="0" applyFont="1" applyNumberFormat="1"/>
    <xf borderId="0" fillId="7" fontId="8" numFmtId="0" xfId="0" applyAlignment="1" applyFont="1">
      <alignment readingOrder="0" shrinkToFit="0" wrapText="0"/>
    </xf>
    <xf borderId="0" fillId="7" fontId="1" numFmtId="11" xfId="0" applyAlignment="1" applyFont="1" applyNumberFormat="1">
      <alignment readingOrder="0"/>
    </xf>
    <xf borderId="0" fillId="0" fontId="1" numFmtId="165" xfId="0" applyAlignment="1" applyFont="1" applyNumberFormat="1">
      <alignment shrinkToFit="0" wrapText="0"/>
    </xf>
    <xf borderId="0" fillId="11" fontId="1" numFmtId="11" xfId="0" applyAlignment="1" applyFill="1" applyFont="1" applyNumberFormat="1">
      <alignment readingOrder="0"/>
    </xf>
    <xf borderId="0" fillId="4" fontId="10" numFmtId="11" xfId="0" applyAlignment="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pQ0AIlRWHi350blQ4azuOf13rLkQkme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ithub.com/plavchan/dgraphsPPP" TargetMode="External"/><Relationship Id="rId3" Type="http://schemas.openxmlformats.org/officeDocument/2006/relationships/hyperlink" Target="https://github.com/plavchan/dgraphsPPP"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github.com/plavchan/dgraphsPPP" TargetMode="External"/><Relationship Id="rId3" Type="http://schemas.openxmlformats.org/officeDocument/2006/relationships/hyperlink" Target="https://github.com/plavchan/dgraphsPPP" TargetMode="Externa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github.com/plavchan/dgraphsPPP" TargetMode="External"/><Relationship Id="rId3" Type="http://schemas.openxmlformats.org/officeDocument/2006/relationships/hyperlink" Target="https://github.com/plavchan/dgraphsPPP" TargetMode="Externa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github.com/plavchan/dgraphsPPP" TargetMode="External"/><Relationship Id="rId3" Type="http://schemas.openxmlformats.org/officeDocument/2006/relationships/hyperlink" Target="https://github.com/plavchan/dgraphsPPP" TargetMode="Externa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github.com/plavchan/dgraphsPPP" TargetMode="External"/><Relationship Id="rId3" Type="http://schemas.openxmlformats.org/officeDocument/2006/relationships/hyperlink" Target="https://github.com/plavchan/dgraphsPPP" TargetMode="External"/><Relationship Id="rId4" Type="http://schemas.openxmlformats.org/officeDocument/2006/relationships/drawing" Target="../drawings/drawing6.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
        <v>2</v>
      </c>
    </row>
    <row r="4">
      <c r="A4" s="1" t="s">
        <v>3</v>
      </c>
    </row>
  </sheetData>
  <hyperlinks>
    <hyperlink r:id="rId1" ref="A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19.63"/>
    <col customWidth="1" min="2" max="2" width="23.38"/>
    <col customWidth="1" min="3" max="3" width="30.13"/>
    <col customWidth="1" min="4" max="8" width="15.13"/>
    <col customWidth="1" min="10" max="14" width="15.13"/>
  </cols>
  <sheetData>
    <row r="1">
      <c r="A1" s="3" t="s">
        <v>4</v>
      </c>
      <c r="D1" s="4"/>
      <c r="E1" s="5"/>
      <c r="F1" s="5"/>
      <c r="G1" s="4"/>
      <c r="H1" s="4"/>
      <c r="I1" s="6"/>
      <c r="J1" s="6"/>
      <c r="K1" s="7"/>
      <c r="L1" s="7"/>
      <c r="M1" s="6"/>
      <c r="N1" s="6"/>
      <c r="O1" s="6"/>
      <c r="P1" s="6"/>
      <c r="Q1" s="6"/>
      <c r="R1" s="6"/>
      <c r="S1" s="6"/>
      <c r="T1" s="6"/>
      <c r="U1" s="6"/>
      <c r="V1" s="6"/>
      <c r="W1" s="6"/>
      <c r="X1" s="6"/>
      <c r="Y1" s="6"/>
      <c r="Z1" s="6"/>
      <c r="AA1" s="6"/>
      <c r="AB1" s="6"/>
    </row>
    <row r="2">
      <c r="A2" s="3" t="s">
        <v>5</v>
      </c>
      <c r="D2" s="4"/>
      <c r="E2" s="5"/>
      <c r="F2" s="5"/>
      <c r="G2" s="4"/>
      <c r="H2" s="4"/>
      <c r="I2" s="6"/>
      <c r="J2" s="6"/>
      <c r="K2" s="7"/>
      <c r="L2" s="7"/>
      <c r="M2" s="6"/>
      <c r="N2" s="6"/>
      <c r="O2" s="6"/>
      <c r="P2" s="6"/>
      <c r="Q2" s="6"/>
      <c r="R2" s="6"/>
      <c r="S2" s="6"/>
      <c r="T2" s="6"/>
      <c r="U2" s="6"/>
      <c r="V2" s="6"/>
      <c r="W2" s="6"/>
      <c r="X2" s="6"/>
      <c r="Y2" s="6"/>
      <c r="Z2" s="6"/>
      <c r="AA2" s="6"/>
      <c r="AB2" s="6"/>
    </row>
    <row r="3">
      <c r="A3" s="3" t="s">
        <v>6</v>
      </c>
      <c r="D3" s="6"/>
      <c r="E3" s="5"/>
      <c r="F3" s="5"/>
      <c r="G3" s="4"/>
      <c r="H3" s="4"/>
      <c r="I3" s="6"/>
      <c r="J3" s="6"/>
      <c r="K3" s="7"/>
      <c r="L3" s="7"/>
      <c r="M3" s="6"/>
      <c r="N3" s="6"/>
      <c r="O3" s="6"/>
      <c r="P3" s="6"/>
      <c r="Q3" s="6"/>
      <c r="R3" s="6"/>
      <c r="S3" s="6"/>
      <c r="T3" s="6"/>
      <c r="U3" s="6"/>
      <c r="V3" s="6"/>
      <c r="W3" s="6"/>
      <c r="X3" s="6"/>
      <c r="Y3" s="6"/>
      <c r="Z3" s="6"/>
      <c r="AA3" s="6"/>
      <c r="AB3" s="6"/>
    </row>
    <row r="4">
      <c r="B4" s="8"/>
      <c r="C4" s="8"/>
      <c r="D4" s="9" t="s">
        <v>7</v>
      </c>
      <c r="J4" s="10" t="s">
        <v>8</v>
      </c>
    </row>
    <row r="5">
      <c r="B5" s="8"/>
      <c r="C5" s="8"/>
      <c r="D5" s="11" t="s">
        <v>9</v>
      </c>
      <c r="E5" s="12" t="s">
        <v>9</v>
      </c>
      <c r="F5" s="13" t="s">
        <v>9</v>
      </c>
      <c r="G5" s="1" t="s">
        <v>9</v>
      </c>
      <c r="H5" s="11" t="s">
        <v>9</v>
      </c>
      <c r="J5" s="11" t="s">
        <v>9</v>
      </c>
      <c r="K5" s="12" t="s">
        <v>9</v>
      </c>
      <c r="L5" s="13" t="s">
        <v>9</v>
      </c>
      <c r="M5" s="1" t="s">
        <v>9</v>
      </c>
      <c r="N5" s="11" t="s">
        <v>9</v>
      </c>
    </row>
    <row r="6">
      <c r="A6" s="14" t="s">
        <v>10</v>
      </c>
      <c r="B6" s="15" t="s">
        <v>11</v>
      </c>
      <c r="C6" s="15" t="s">
        <v>12</v>
      </c>
      <c r="D6" s="16" t="s">
        <v>13</v>
      </c>
      <c r="E6" s="17" t="s">
        <v>14</v>
      </c>
      <c r="F6" s="18" t="s">
        <v>15</v>
      </c>
      <c r="G6" s="19" t="s">
        <v>16</v>
      </c>
      <c r="H6" s="16" t="s">
        <v>17</v>
      </c>
      <c r="J6" s="16" t="s">
        <v>13</v>
      </c>
      <c r="K6" s="17" t="s">
        <v>14</v>
      </c>
      <c r="L6" s="18" t="s">
        <v>15</v>
      </c>
      <c r="M6" s="19" t="s">
        <v>18</v>
      </c>
      <c r="N6" s="16" t="s">
        <v>17</v>
      </c>
    </row>
    <row r="7">
      <c r="A7" s="20" t="s">
        <v>19</v>
      </c>
      <c r="B7" s="21" t="s">
        <v>20</v>
      </c>
      <c r="C7" s="22"/>
      <c r="D7" s="23"/>
      <c r="E7" s="24"/>
      <c r="F7" s="24"/>
      <c r="G7" s="23"/>
      <c r="H7" s="23"/>
      <c r="J7" s="23"/>
      <c r="K7" s="24"/>
      <c r="L7" s="24"/>
      <c r="M7" s="23"/>
      <c r="N7" s="23"/>
      <c r="O7" s="23"/>
      <c r="P7" s="23"/>
      <c r="Q7" s="23"/>
      <c r="R7" s="23"/>
      <c r="S7" s="23"/>
      <c r="T7" s="23"/>
      <c r="U7" s="23"/>
      <c r="V7" s="23"/>
      <c r="W7" s="23"/>
      <c r="X7" s="23"/>
      <c r="Y7" s="23"/>
      <c r="Z7" s="23"/>
      <c r="AA7" s="23"/>
      <c r="AB7" s="23"/>
    </row>
    <row r="8">
      <c r="A8" s="1" t="s">
        <v>21</v>
      </c>
      <c r="B8" s="8" t="s">
        <v>22</v>
      </c>
      <c r="C8" s="8" t="s">
        <v>23</v>
      </c>
      <c r="D8" s="25">
        <v>13400.0</v>
      </c>
      <c r="E8" s="26">
        <v>11829.01</v>
      </c>
      <c r="F8" s="25">
        <v>11829.01174346</v>
      </c>
      <c r="G8" s="8" t="s">
        <v>24</v>
      </c>
      <c r="H8" s="27"/>
      <c r="I8" s="28"/>
      <c r="J8" s="25">
        <v>3819.346</v>
      </c>
      <c r="K8" s="26">
        <v>3173.48012854429</v>
      </c>
      <c r="L8" s="25">
        <v>3173.48012854</v>
      </c>
      <c r="M8" s="28"/>
      <c r="N8" s="27"/>
      <c r="O8" s="28"/>
      <c r="P8" s="28"/>
      <c r="Q8" s="28"/>
      <c r="R8" s="28"/>
      <c r="S8" s="28"/>
      <c r="T8" s="28"/>
      <c r="U8" s="28"/>
    </row>
    <row r="9">
      <c r="A9" s="1" t="s">
        <v>25</v>
      </c>
      <c r="B9" s="8" t="s">
        <v>26</v>
      </c>
      <c r="C9" s="28"/>
      <c r="D9" s="29">
        <v>5.687</v>
      </c>
      <c r="E9" s="26">
        <v>5.44</v>
      </c>
      <c r="F9" s="25">
        <v>5.43</v>
      </c>
      <c r="G9" s="8" t="s">
        <v>27</v>
      </c>
      <c r="H9" s="27"/>
      <c r="I9" s="28"/>
      <c r="J9" s="25">
        <v>4.742178</v>
      </c>
      <c r="K9" s="26">
        <v>4.841</v>
      </c>
      <c r="L9" s="25">
        <v>4.512</v>
      </c>
      <c r="M9" s="28"/>
      <c r="N9" s="27"/>
      <c r="O9" s="28"/>
      <c r="P9" s="28"/>
      <c r="Q9" s="28"/>
      <c r="R9" s="28"/>
      <c r="S9" s="28"/>
      <c r="T9" s="28"/>
      <c r="U9" s="28"/>
    </row>
    <row r="10">
      <c r="A10" s="1" t="s">
        <v>28</v>
      </c>
      <c r="B10" s="8" t="s">
        <v>29</v>
      </c>
      <c r="C10" s="8" t="s">
        <v>30</v>
      </c>
      <c r="D10" s="29">
        <v>1.83</v>
      </c>
      <c r="E10" s="26">
        <v>1.83</v>
      </c>
      <c r="F10" s="25">
        <v>1.87</v>
      </c>
      <c r="G10" s="8"/>
      <c r="H10" s="27"/>
      <c r="I10" s="28"/>
      <c r="J10" s="29">
        <v>1.83</v>
      </c>
      <c r="K10" s="26">
        <v>1.82599674907496</v>
      </c>
      <c r="L10" s="25">
        <v>1.87</v>
      </c>
      <c r="M10" s="28"/>
      <c r="N10" s="27"/>
      <c r="O10" s="28"/>
      <c r="P10" s="28"/>
      <c r="Q10" s="28"/>
      <c r="R10" s="28"/>
      <c r="S10" s="28"/>
      <c r="T10" s="28"/>
      <c r="U10" s="28"/>
    </row>
    <row r="11">
      <c r="A11" s="1" t="s">
        <v>31</v>
      </c>
      <c r="B11" s="8" t="s">
        <v>32</v>
      </c>
      <c r="C11" s="8" t="s">
        <v>33</v>
      </c>
      <c r="D11" s="29">
        <v>18.2</v>
      </c>
      <c r="E11" s="26">
        <v>18.2</v>
      </c>
      <c r="F11" s="25">
        <v>17.87</v>
      </c>
      <c r="G11" s="8"/>
      <c r="H11" s="27"/>
      <c r="I11" s="28"/>
      <c r="J11" s="29">
        <v>18.2</v>
      </c>
      <c r="K11" s="26">
        <v>18.2023</v>
      </c>
      <c r="L11" s="25">
        <v>17.87</v>
      </c>
      <c r="M11" s="28"/>
      <c r="N11" s="27"/>
      <c r="O11" s="28"/>
      <c r="P11" s="28"/>
      <c r="Q11" s="28"/>
      <c r="R11" s="28"/>
      <c r="S11" s="28"/>
      <c r="T11" s="28"/>
      <c r="U11" s="28"/>
    </row>
    <row r="12">
      <c r="A12" s="1" t="s">
        <v>34</v>
      </c>
      <c r="B12" s="8" t="s">
        <v>35</v>
      </c>
      <c r="C12" s="8" t="s">
        <v>36</v>
      </c>
      <c r="D12" s="29">
        <v>7.87</v>
      </c>
      <c r="E12" s="26">
        <v>7.87</v>
      </c>
      <c r="F12" s="25">
        <v>7.87</v>
      </c>
      <c r="G12" s="8" t="s">
        <v>37</v>
      </c>
      <c r="H12" s="27"/>
      <c r="I12" s="28"/>
      <c r="J12" s="25">
        <v>7.87</v>
      </c>
      <c r="K12" s="26">
        <v>7.87</v>
      </c>
      <c r="L12" s="25">
        <v>7.87</v>
      </c>
      <c r="M12" s="28"/>
      <c r="N12" s="27"/>
      <c r="O12" s="28"/>
      <c r="P12" s="28"/>
      <c r="Q12" s="28"/>
      <c r="R12" s="28"/>
      <c r="S12" s="28"/>
      <c r="T12" s="28"/>
      <c r="U12" s="28"/>
    </row>
    <row r="13">
      <c r="A13" s="1" t="s">
        <v>38</v>
      </c>
      <c r="B13" s="8" t="s">
        <v>39</v>
      </c>
      <c r="C13" s="8" t="s">
        <v>40</v>
      </c>
      <c r="D13" s="25">
        <v>427518.2</v>
      </c>
      <c r="E13" s="26">
        <v>427518.213511999</v>
      </c>
      <c r="F13" s="30">
        <f>42.75182135*100*100</f>
        <v>427518.2135</v>
      </c>
      <c r="G13" s="8" t="s">
        <v>41</v>
      </c>
      <c r="H13" s="27"/>
      <c r="I13" s="28"/>
      <c r="J13" s="25">
        <v>427518.2</v>
      </c>
      <c r="K13" s="26">
        <v>427518.213511999</v>
      </c>
      <c r="L13" s="30">
        <f>42.75182135*100*100</f>
        <v>427518.2135</v>
      </c>
      <c r="M13" s="28"/>
      <c r="N13" s="27"/>
      <c r="O13" s="28"/>
      <c r="P13" s="28"/>
      <c r="Q13" s="28"/>
      <c r="R13" s="28"/>
      <c r="S13" s="28"/>
      <c r="T13" s="28"/>
      <c r="U13" s="28"/>
    </row>
    <row r="14">
      <c r="A14" s="31" t="s">
        <v>42</v>
      </c>
      <c r="B14" s="8" t="s">
        <v>43</v>
      </c>
      <c r="C14" s="8" t="s">
        <v>44</v>
      </c>
      <c r="D14" s="25">
        <v>500.0</v>
      </c>
      <c r="E14" s="26">
        <v>500.0</v>
      </c>
      <c r="F14" s="25">
        <v>500.0</v>
      </c>
      <c r="G14" s="8" t="s">
        <v>45</v>
      </c>
      <c r="H14" s="27"/>
      <c r="I14" s="28"/>
      <c r="J14" s="25">
        <v>1000.0</v>
      </c>
      <c r="K14" s="26">
        <v>1000.0</v>
      </c>
      <c r="L14" s="25">
        <v>1000.0</v>
      </c>
      <c r="M14" s="28"/>
      <c r="N14" s="27"/>
      <c r="O14" s="28"/>
      <c r="P14" s="28"/>
      <c r="Q14" s="28"/>
      <c r="R14" s="28"/>
      <c r="S14" s="28"/>
      <c r="T14" s="28"/>
      <c r="U14" s="28"/>
    </row>
    <row r="15">
      <c r="A15" s="32" t="s">
        <v>46</v>
      </c>
      <c r="B15" s="8" t="s">
        <v>47</v>
      </c>
      <c r="C15" s="8" t="s">
        <v>44</v>
      </c>
      <c r="D15" s="29">
        <v>100.0</v>
      </c>
      <c r="E15" s="26">
        <v>100.0</v>
      </c>
      <c r="F15" s="25">
        <v>100.0</v>
      </c>
      <c r="G15" s="8" t="s">
        <v>48</v>
      </c>
      <c r="H15" s="27"/>
      <c r="I15" s="28"/>
      <c r="J15" s="25">
        <v>200.0</v>
      </c>
      <c r="K15" s="26">
        <v>200.0</v>
      </c>
      <c r="L15" s="25">
        <v>200.0</v>
      </c>
      <c r="M15" s="28"/>
      <c r="N15" s="27"/>
      <c r="O15" s="28"/>
      <c r="P15" s="28"/>
      <c r="Q15" s="28"/>
      <c r="R15" s="28"/>
      <c r="S15" s="28"/>
      <c r="T15" s="28"/>
      <c r="U15" s="28"/>
    </row>
    <row r="16">
      <c r="A16" s="1" t="s">
        <v>49</v>
      </c>
      <c r="B16" s="8" t="s">
        <v>50</v>
      </c>
      <c r="C16" s="28"/>
      <c r="D16" s="29">
        <v>3.0</v>
      </c>
      <c r="E16" s="26">
        <v>3.0</v>
      </c>
      <c r="F16" s="25">
        <v>3.0</v>
      </c>
      <c r="G16" s="8">
        <v>0.0</v>
      </c>
      <c r="H16" s="27"/>
      <c r="I16" s="28"/>
      <c r="J16" s="29">
        <v>3.0</v>
      </c>
      <c r="K16" s="26">
        <v>3.0</v>
      </c>
      <c r="L16" s="25">
        <v>3.0</v>
      </c>
      <c r="M16" s="28"/>
      <c r="N16" s="27"/>
      <c r="O16" s="28"/>
      <c r="P16" s="28"/>
      <c r="Q16" s="28"/>
      <c r="R16" s="28"/>
      <c r="S16" s="28"/>
      <c r="T16" s="28"/>
      <c r="U16" s="28"/>
    </row>
    <row r="17">
      <c r="A17" s="1" t="s">
        <v>51</v>
      </c>
      <c r="B17" s="8" t="s">
        <v>52</v>
      </c>
      <c r="C17" s="28"/>
      <c r="D17" s="29">
        <v>7.0</v>
      </c>
      <c r="E17" s="26">
        <v>7.0</v>
      </c>
      <c r="F17" s="25">
        <v>7.0</v>
      </c>
      <c r="G17" s="8" t="s">
        <v>53</v>
      </c>
      <c r="H17" s="27"/>
      <c r="I17" s="28"/>
      <c r="J17" s="29">
        <v>7.0</v>
      </c>
      <c r="K17" s="26">
        <v>7.0</v>
      </c>
      <c r="L17" s="25">
        <v>7.0</v>
      </c>
      <c r="M17" s="28"/>
      <c r="N17" s="27"/>
      <c r="O17" s="28"/>
      <c r="P17" s="28"/>
      <c r="Q17" s="28"/>
      <c r="R17" s="28"/>
      <c r="S17" s="28"/>
      <c r="T17" s="28"/>
      <c r="U17" s="28"/>
    </row>
    <row r="18">
      <c r="A18" s="1" t="s">
        <v>54</v>
      </c>
      <c r="B18" s="8" t="s">
        <v>55</v>
      </c>
      <c r="C18" s="8" t="s">
        <v>56</v>
      </c>
      <c r="D18" s="25">
        <v>8249.895</v>
      </c>
      <c r="E18" s="26">
        <v>8280.0</v>
      </c>
      <c r="F18" s="25">
        <f>0.0958333*86400</f>
        <v>8279.99712</v>
      </c>
      <c r="G18" s="8">
        <v>0.0</v>
      </c>
      <c r="H18" s="27"/>
      <c r="I18" s="25"/>
      <c r="J18" s="25">
        <v>8249.895</v>
      </c>
      <c r="K18" s="26">
        <v>8280.0</v>
      </c>
      <c r="L18" s="25">
        <f>0.0958333*86400</f>
        <v>8279.99712</v>
      </c>
      <c r="M18" s="28"/>
      <c r="N18" s="27"/>
      <c r="O18" s="28"/>
      <c r="P18" s="28"/>
      <c r="Q18" s="28"/>
      <c r="R18" s="28"/>
      <c r="S18" s="28"/>
      <c r="T18" s="28"/>
      <c r="U18" s="28"/>
    </row>
    <row r="19">
      <c r="A19" s="1" t="s">
        <v>57</v>
      </c>
      <c r="B19" s="8" t="s">
        <v>58</v>
      </c>
      <c r="C19" s="28"/>
      <c r="D19" s="29">
        <v>1.1</v>
      </c>
      <c r="E19" s="26">
        <v>1.1</v>
      </c>
      <c r="F19" s="25">
        <v>1.0</v>
      </c>
      <c r="G19" s="8">
        <v>1.0</v>
      </c>
      <c r="H19" s="27"/>
      <c r="I19" s="28"/>
      <c r="J19" s="25">
        <v>1.1</v>
      </c>
      <c r="K19" s="26">
        <v>1.1</v>
      </c>
      <c r="L19" s="25">
        <v>1.0</v>
      </c>
      <c r="M19" s="28"/>
      <c r="N19" s="27"/>
      <c r="O19" s="28"/>
      <c r="P19" s="28"/>
      <c r="Q19" s="28"/>
      <c r="R19" s="28"/>
      <c r="S19" s="28"/>
      <c r="T19" s="28"/>
      <c r="U19" s="28"/>
    </row>
    <row r="20">
      <c r="A20" s="1" t="s">
        <v>59</v>
      </c>
      <c r="B20" s="8" t="s">
        <v>60</v>
      </c>
      <c r="C20" s="8" t="s">
        <v>61</v>
      </c>
      <c r="D20" s="25">
        <v>3.0E-5</v>
      </c>
      <c r="E20" s="26">
        <v>3.0E-5</v>
      </c>
      <c r="F20" s="25">
        <v>3.0E-5</v>
      </c>
      <c r="G20" s="8">
        <v>0.0</v>
      </c>
      <c r="H20" s="27"/>
      <c r="I20" s="28"/>
      <c r="J20" s="25">
        <v>3.0E-5</v>
      </c>
      <c r="K20" s="26">
        <v>3.0E-5</v>
      </c>
      <c r="L20" s="25">
        <v>3.0E-5</v>
      </c>
      <c r="M20" s="28"/>
      <c r="N20" s="27"/>
      <c r="O20" s="28"/>
      <c r="P20" s="28"/>
      <c r="Q20" s="28"/>
      <c r="R20" s="28"/>
      <c r="S20" s="28"/>
      <c r="T20" s="28"/>
      <c r="U20" s="28"/>
    </row>
    <row r="21">
      <c r="A21" s="1" t="s">
        <v>62</v>
      </c>
      <c r="B21" s="8" t="s">
        <v>63</v>
      </c>
      <c r="C21" s="8" t="s">
        <v>64</v>
      </c>
      <c r="D21" s="25">
        <v>0.0</v>
      </c>
      <c r="E21" s="26">
        <v>0.0</v>
      </c>
      <c r="F21" s="25">
        <v>0.0</v>
      </c>
      <c r="G21" s="8">
        <v>0.0</v>
      </c>
      <c r="H21" s="27"/>
      <c r="I21" s="28"/>
      <c r="J21" s="25">
        <v>0.0</v>
      </c>
      <c r="K21" s="26">
        <v>0.0</v>
      </c>
      <c r="L21" s="25">
        <v>0.0</v>
      </c>
      <c r="M21" s="28"/>
      <c r="N21" s="27"/>
      <c r="O21" s="28"/>
      <c r="P21" s="28"/>
      <c r="Q21" s="28"/>
      <c r="R21" s="28"/>
      <c r="S21" s="28"/>
      <c r="T21" s="28"/>
      <c r="U21" s="28"/>
    </row>
    <row r="22">
      <c r="A22" s="1" t="s">
        <v>65</v>
      </c>
      <c r="B22" s="8" t="s">
        <v>66</v>
      </c>
      <c r="C22" s="8" t="s">
        <v>67</v>
      </c>
      <c r="D22" s="25">
        <v>0.0013</v>
      </c>
      <c r="E22" s="26">
        <v>0.0013</v>
      </c>
      <c r="F22" s="25">
        <v>0.0013</v>
      </c>
      <c r="G22" s="8">
        <v>0.0</v>
      </c>
      <c r="H22" s="27"/>
      <c r="I22" s="28"/>
      <c r="J22" s="25">
        <v>0.0013</v>
      </c>
      <c r="K22" s="26">
        <v>0.0013</v>
      </c>
      <c r="L22" s="25">
        <v>0.0013</v>
      </c>
      <c r="M22" s="28"/>
      <c r="N22" s="27"/>
      <c r="O22" s="28"/>
      <c r="P22" s="28"/>
      <c r="Q22" s="28"/>
      <c r="R22" s="28"/>
      <c r="S22" s="28"/>
      <c r="T22" s="28"/>
      <c r="U22" s="28"/>
    </row>
    <row r="23">
      <c r="A23" s="1" t="s">
        <v>68</v>
      </c>
      <c r="B23" s="8" t="s">
        <v>69</v>
      </c>
      <c r="C23" s="8" t="s">
        <v>56</v>
      </c>
      <c r="D23" s="25">
        <v>1000.0</v>
      </c>
      <c r="E23" s="26" t="s">
        <v>70</v>
      </c>
      <c r="F23" s="30"/>
      <c r="G23" s="8">
        <v>0.0</v>
      </c>
      <c r="H23" s="27"/>
      <c r="I23" s="28"/>
      <c r="J23" s="25">
        <v>1000.0</v>
      </c>
      <c r="K23" s="26" t="s">
        <v>70</v>
      </c>
      <c r="L23" s="30"/>
      <c r="M23" s="28"/>
      <c r="N23" s="27"/>
      <c r="O23" s="28"/>
      <c r="P23" s="28"/>
      <c r="Q23" s="28"/>
      <c r="R23" s="28"/>
      <c r="S23" s="28"/>
      <c r="T23" s="28"/>
      <c r="U23" s="28"/>
    </row>
    <row r="24">
      <c r="A24" s="1" t="s">
        <v>71</v>
      </c>
      <c r="B24" s="8" t="s">
        <v>72</v>
      </c>
      <c r="C24" s="33" t="s">
        <v>73</v>
      </c>
      <c r="D24" s="25">
        <v>6.55225</v>
      </c>
      <c r="E24" s="26">
        <v>6.55</v>
      </c>
      <c r="F24" s="25">
        <f>0.00661157*1000</f>
        <v>6.61157</v>
      </c>
      <c r="G24" s="8"/>
      <c r="H24" s="27"/>
      <c r="I24" s="28"/>
      <c r="J24" s="25">
        <v>6.55225</v>
      </c>
      <c r="K24" s="26">
        <v>0.00655</v>
      </c>
      <c r="L24" s="25">
        <f>0.00661157*1000</f>
        <v>6.61157</v>
      </c>
      <c r="M24" s="28"/>
      <c r="N24" s="27"/>
      <c r="O24" s="28"/>
      <c r="P24" s="28"/>
      <c r="Q24" s="28"/>
      <c r="R24" s="28"/>
      <c r="S24" s="28"/>
      <c r="T24" s="28"/>
      <c r="U24" s="28"/>
    </row>
    <row r="25">
      <c r="A25" s="1" t="s">
        <v>74</v>
      </c>
      <c r="B25" s="8" t="s">
        <v>75</v>
      </c>
      <c r="C25" s="33"/>
      <c r="D25" s="25">
        <v>1.0</v>
      </c>
      <c r="E25" s="26">
        <v>1.0</v>
      </c>
      <c r="F25" s="25">
        <v>1.0</v>
      </c>
      <c r="G25" s="8">
        <v>0.0</v>
      </c>
      <c r="H25" s="27"/>
      <c r="I25" s="28"/>
      <c r="J25" s="25">
        <v>0.75</v>
      </c>
      <c r="K25" s="26">
        <v>0.75</v>
      </c>
      <c r="L25" s="25">
        <v>1.0</v>
      </c>
      <c r="M25" s="28"/>
      <c r="N25" s="27"/>
      <c r="O25" s="28"/>
      <c r="P25" s="28"/>
      <c r="Q25" s="28"/>
      <c r="R25" s="28"/>
      <c r="S25" s="28"/>
      <c r="T25" s="28"/>
      <c r="U25" s="28"/>
    </row>
    <row r="26">
      <c r="A26" s="1" t="s">
        <v>76</v>
      </c>
      <c r="B26" s="8" t="s">
        <v>77</v>
      </c>
      <c r="C26" s="33"/>
      <c r="D26" s="25">
        <f>0.9*0.75</f>
        <v>0.675</v>
      </c>
      <c r="E26" s="26">
        <v>0.675</v>
      </c>
      <c r="F26" s="25">
        <v>0.675</v>
      </c>
      <c r="G26" s="8">
        <v>0.0</v>
      </c>
      <c r="H26" s="27"/>
      <c r="I26" s="28"/>
      <c r="J26" s="25">
        <v>0.9</v>
      </c>
      <c r="K26" s="26">
        <v>0.9</v>
      </c>
      <c r="L26" s="25">
        <v>0.675</v>
      </c>
      <c r="M26" s="28"/>
      <c r="N26" s="27"/>
      <c r="O26" s="28"/>
      <c r="P26" s="28"/>
      <c r="Q26" s="28"/>
      <c r="R26" s="28"/>
      <c r="S26" s="28"/>
      <c r="T26" s="28"/>
      <c r="U26" s="28"/>
    </row>
    <row r="27">
      <c r="A27" s="1" t="s">
        <v>78</v>
      </c>
      <c r="B27" s="8" t="s">
        <v>79</v>
      </c>
      <c r="C27" s="28"/>
      <c r="D27" s="25">
        <v>0.532</v>
      </c>
      <c r="E27" s="26">
        <v>0.532</v>
      </c>
      <c r="F27" s="25">
        <f>0.95*0.56</f>
        <v>0.532</v>
      </c>
      <c r="G27" s="8">
        <v>0.5</v>
      </c>
      <c r="H27" s="27"/>
      <c r="I27" s="28"/>
      <c r="J27" s="25">
        <v>0.532</v>
      </c>
      <c r="K27" s="26">
        <v>0.532</v>
      </c>
      <c r="L27" s="25">
        <f>0.95*0.56</f>
        <v>0.532</v>
      </c>
      <c r="M27" s="28"/>
      <c r="N27" s="27"/>
      <c r="O27" s="28"/>
      <c r="P27" s="28"/>
      <c r="Q27" s="28"/>
      <c r="R27" s="28"/>
      <c r="S27" s="28"/>
      <c r="T27" s="28"/>
      <c r="U27" s="28"/>
    </row>
    <row r="28">
      <c r="A28" s="1" t="s">
        <v>80</v>
      </c>
      <c r="B28" s="8" t="s">
        <v>81</v>
      </c>
      <c r="C28" s="8" t="s">
        <v>82</v>
      </c>
      <c r="D28" s="29">
        <v>135.0</v>
      </c>
      <c r="E28" s="26"/>
      <c r="F28" s="25">
        <v>173.41193374</v>
      </c>
      <c r="G28" s="28"/>
      <c r="H28" s="27"/>
      <c r="I28" s="28"/>
      <c r="J28" s="27"/>
      <c r="K28" s="34"/>
      <c r="L28" s="25">
        <v>173.41193374</v>
      </c>
      <c r="M28" s="28"/>
      <c r="N28" s="27"/>
      <c r="O28" s="28"/>
      <c r="P28" s="28"/>
      <c r="Q28" s="28"/>
      <c r="R28" s="28"/>
      <c r="S28" s="28"/>
      <c r="T28" s="28"/>
      <c r="U28" s="28"/>
    </row>
    <row r="29">
      <c r="A29" s="1" t="s">
        <v>83</v>
      </c>
      <c r="B29" s="8" t="s">
        <v>84</v>
      </c>
      <c r="C29" s="8" t="s">
        <v>82</v>
      </c>
      <c r="D29" s="29">
        <v>56.3</v>
      </c>
      <c r="E29" s="26">
        <v>56.276</v>
      </c>
      <c r="F29" s="25">
        <v>56.3</v>
      </c>
      <c r="G29" s="28"/>
      <c r="H29" s="27"/>
      <c r="I29" s="28"/>
      <c r="J29" s="27"/>
      <c r="K29" s="34"/>
      <c r="L29" s="25">
        <v>56.3</v>
      </c>
      <c r="M29" s="28"/>
      <c r="N29" s="27"/>
      <c r="O29" s="28"/>
      <c r="P29" s="28"/>
      <c r="Q29" s="28"/>
      <c r="R29" s="28"/>
      <c r="S29" s="28"/>
      <c r="T29" s="28"/>
      <c r="U29" s="28"/>
    </row>
    <row r="30">
      <c r="A30" s="35"/>
      <c r="B30" s="36"/>
      <c r="C30" s="28"/>
      <c r="D30" s="27"/>
      <c r="E30" s="34"/>
      <c r="F30" s="30"/>
      <c r="G30" s="28"/>
      <c r="H30" s="27"/>
      <c r="I30" s="28"/>
      <c r="J30" s="27"/>
      <c r="K30" s="34"/>
      <c r="L30" s="30"/>
      <c r="M30" s="28"/>
      <c r="N30" s="27"/>
      <c r="O30" s="28"/>
      <c r="P30" s="28"/>
      <c r="Q30" s="28"/>
      <c r="R30" s="28"/>
      <c r="S30" s="28"/>
      <c r="T30" s="28"/>
      <c r="U30" s="28"/>
    </row>
    <row r="31">
      <c r="A31" s="20" t="s">
        <v>85</v>
      </c>
      <c r="B31" s="21" t="s">
        <v>86</v>
      </c>
      <c r="C31" s="22"/>
      <c r="D31" s="22"/>
      <c r="E31" s="37"/>
      <c r="F31" s="37"/>
      <c r="G31" s="22"/>
      <c r="H31" s="22"/>
      <c r="I31" s="28"/>
      <c r="J31" s="22"/>
      <c r="K31" s="37"/>
      <c r="L31" s="37"/>
      <c r="M31" s="22"/>
      <c r="N31" s="22"/>
      <c r="O31" s="22"/>
      <c r="P31" s="22"/>
      <c r="Q31" s="22"/>
      <c r="R31" s="22"/>
      <c r="S31" s="22"/>
      <c r="T31" s="22"/>
      <c r="U31" s="22"/>
      <c r="V31" s="23"/>
      <c r="W31" s="23"/>
      <c r="X31" s="23"/>
      <c r="Y31" s="23"/>
      <c r="Z31" s="23"/>
      <c r="AA31" s="23"/>
      <c r="AB31" s="23"/>
    </row>
    <row r="32">
      <c r="A32" s="1" t="s">
        <v>87</v>
      </c>
      <c r="B32" s="8" t="s">
        <v>88</v>
      </c>
      <c r="C32" s="8" t="s">
        <v>23</v>
      </c>
      <c r="D32" s="38">
        <v>71.54789</v>
      </c>
      <c r="E32" s="38">
        <v>65.61865517</v>
      </c>
      <c r="F32" s="38">
        <f>66225817.1060771/100/100/100</f>
        <v>66.22581711</v>
      </c>
      <c r="G32" s="8" t="s">
        <v>89</v>
      </c>
      <c r="H32" s="27"/>
      <c r="I32" s="28"/>
      <c r="J32" s="13">
        <v>48.43038</v>
      </c>
      <c r="K32" s="39">
        <v>44.21734738</v>
      </c>
      <c r="L32" s="13">
        <v>42.29551207</v>
      </c>
      <c r="M32" s="28"/>
      <c r="N32" s="40"/>
      <c r="O32" s="28"/>
      <c r="P32" s="28"/>
      <c r="Q32" s="28"/>
      <c r="R32" s="28"/>
      <c r="S32" s="28"/>
      <c r="T32" s="28"/>
      <c r="U32" s="28"/>
    </row>
    <row r="33">
      <c r="A33" s="1" t="s">
        <v>90</v>
      </c>
      <c r="B33" s="8" t="s">
        <v>91</v>
      </c>
      <c r="C33" s="8" t="s">
        <v>23</v>
      </c>
      <c r="D33" s="25">
        <v>4.542177E-9</v>
      </c>
      <c r="E33" s="26">
        <v>4.16E-9</v>
      </c>
      <c r="F33" s="30">
        <f>F32*10^(-0.4*25.52107415)</f>
        <v>0.000000004098242619</v>
      </c>
      <c r="G33" s="8" t="s">
        <v>92</v>
      </c>
      <c r="H33" s="27"/>
      <c r="I33" s="34"/>
      <c r="J33" s="13">
        <v>3.074575E-9</v>
      </c>
      <c r="K33" s="26">
        <v>2.80337982E-9</v>
      </c>
      <c r="L33" s="13">
        <v>2.61736703E-9</v>
      </c>
      <c r="M33" s="28"/>
      <c r="N33" s="40"/>
      <c r="O33" s="28"/>
      <c r="P33" s="28"/>
      <c r="Q33" s="28"/>
      <c r="R33" s="28"/>
      <c r="S33" s="28"/>
      <c r="T33" s="28"/>
      <c r="U33" s="28"/>
    </row>
    <row r="34">
      <c r="A34" s="1" t="s">
        <v>93</v>
      </c>
      <c r="B34" s="8" t="s">
        <v>94</v>
      </c>
      <c r="C34" s="8" t="s">
        <v>95</v>
      </c>
      <c r="D34" s="25">
        <v>4.744624E-6</v>
      </c>
      <c r="E34" s="26">
        <v>7.46E-6</v>
      </c>
      <c r="F34" s="25">
        <v>5.20799671E-6</v>
      </c>
      <c r="G34" s="8">
        <v>0.0</v>
      </c>
      <c r="H34" s="25"/>
      <c r="I34" s="28"/>
      <c r="J34" s="13">
        <v>4.379648E-6</v>
      </c>
      <c r="K34" s="39">
        <v>2.00233059466696E-6</v>
      </c>
      <c r="L34" s="13">
        <v>4.80738158E-6</v>
      </c>
      <c r="M34" s="26"/>
      <c r="N34" s="40"/>
      <c r="O34" s="28"/>
      <c r="P34" s="28"/>
      <c r="Q34" s="28"/>
      <c r="R34" s="28"/>
      <c r="S34" s="28"/>
      <c r="T34" s="28"/>
      <c r="U34" s="28"/>
    </row>
    <row r="35">
      <c r="A35" s="1" t="s">
        <v>96</v>
      </c>
      <c r="B35" s="8" t="s">
        <v>97</v>
      </c>
      <c r="C35" s="8" t="s">
        <v>95</v>
      </c>
      <c r="D35" s="25">
        <v>5.282559E-5</v>
      </c>
      <c r="E35" s="26">
        <v>5.62431605572512E-5</v>
      </c>
      <c r="F35" s="25">
        <v>5.52684412E-5</v>
      </c>
      <c r="G35" s="41">
        <f>D8*10^(-0.4*22)*(1/D10)*10^(-0.4*((D9-5*LOG10(D11)+5)-4.83))*D16</f>
        <v>0.00005237424064</v>
      </c>
      <c r="H35" s="27">
        <f>D9-5*LOG10(D11)+5</f>
        <v>4.38664306</v>
      </c>
      <c r="I35" s="28"/>
      <c r="J35" s="13">
        <v>3.575736E-5</v>
      </c>
      <c r="K35" s="42">
        <v>1.50888811564214E-5</v>
      </c>
      <c r="L35" s="43">
        <v>1.24483895E-5</v>
      </c>
      <c r="M35" s="41">
        <f>G35*J32/D32</f>
        <v>0.00003545184039</v>
      </c>
      <c r="N35" s="40"/>
      <c r="O35" s="28"/>
      <c r="P35" s="28"/>
      <c r="Q35" s="28"/>
      <c r="R35" s="28"/>
      <c r="S35" s="28"/>
      <c r="T35" s="28"/>
      <c r="U35" s="28"/>
    </row>
    <row r="36">
      <c r="B36" s="28"/>
      <c r="C36" s="28"/>
      <c r="D36" s="27"/>
      <c r="E36" s="34"/>
      <c r="F36" s="44"/>
      <c r="G36" s="28"/>
      <c r="H36" s="27"/>
      <c r="I36" s="28"/>
      <c r="J36" s="40"/>
      <c r="K36" s="45"/>
      <c r="L36" s="40"/>
      <c r="M36" s="28"/>
      <c r="N36" s="40"/>
      <c r="O36" s="28"/>
      <c r="P36" s="28"/>
      <c r="Q36" s="28"/>
      <c r="R36" s="28"/>
      <c r="S36" s="28"/>
      <c r="T36" s="28"/>
      <c r="U36" s="28"/>
    </row>
    <row r="37">
      <c r="A37" s="20" t="s">
        <v>98</v>
      </c>
      <c r="B37" s="21" t="s">
        <v>99</v>
      </c>
      <c r="C37" s="22"/>
      <c r="D37" s="22"/>
      <c r="E37" s="37"/>
      <c r="F37" s="37"/>
      <c r="G37" s="22"/>
      <c r="H37" s="22"/>
      <c r="I37" s="28"/>
      <c r="J37" s="22"/>
      <c r="K37" s="37"/>
      <c r="L37" s="37"/>
      <c r="M37" s="22"/>
      <c r="N37" s="22"/>
      <c r="O37" s="22"/>
      <c r="P37" s="22"/>
      <c r="Q37" s="22"/>
      <c r="R37" s="22"/>
      <c r="S37" s="22"/>
      <c r="T37" s="22"/>
      <c r="U37" s="22"/>
      <c r="V37" s="23"/>
      <c r="W37" s="23"/>
      <c r="X37" s="23"/>
      <c r="Y37" s="23"/>
      <c r="Z37" s="23"/>
      <c r="AA37" s="23"/>
      <c r="AB37" s="23"/>
    </row>
    <row r="38">
      <c r="A38" s="1" t="s">
        <v>100</v>
      </c>
      <c r="B38" s="8" t="s">
        <v>101</v>
      </c>
      <c r="C38" s="33" t="s">
        <v>102</v>
      </c>
      <c r="D38" s="25">
        <v>5.662605</v>
      </c>
      <c r="E38" s="26">
        <v>5.66446706</v>
      </c>
      <c r="F38" s="30">
        <f>0.07652375/(0.0000005/7.87*180/PI()*3600)</f>
        <v>5.83950237</v>
      </c>
      <c r="G38" s="28"/>
      <c r="H38" s="27"/>
      <c r="I38" s="28"/>
      <c r="J38" s="25">
        <v>2.831302</v>
      </c>
      <c r="K38" s="26">
        <v>2.83223353</v>
      </c>
      <c r="L38" s="25">
        <v>2.91975123</v>
      </c>
      <c r="M38" s="28"/>
      <c r="N38" s="27"/>
      <c r="O38" s="28"/>
      <c r="P38" s="28"/>
      <c r="Q38" s="28"/>
      <c r="R38" s="28"/>
      <c r="S38" s="28"/>
      <c r="T38" s="28"/>
      <c r="U38" s="28"/>
    </row>
    <row r="39">
      <c r="A39" s="32" t="s">
        <v>103</v>
      </c>
      <c r="B39" s="8" t="s">
        <v>104</v>
      </c>
      <c r="C39" s="33" t="s">
        <v>105</v>
      </c>
      <c r="D39" s="25">
        <v>2.263674</v>
      </c>
      <c r="E39" s="26">
        <v>2.25647</v>
      </c>
      <c r="F39" s="25">
        <v>2.30273033</v>
      </c>
      <c r="G39" s="28"/>
      <c r="H39" s="27"/>
      <c r="I39" s="28"/>
      <c r="J39" s="25">
        <v>2.268219</v>
      </c>
      <c r="K39" s="26">
        <v>2.25647</v>
      </c>
      <c r="L39" s="25">
        <v>2.30272793</v>
      </c>
      <c r="M39" s="28"/>
      <c r="N39" s="27"/>
      <c r="O39" s="28"/>
      <c r="P39" s="28"/>
      <c r="Q39" s="28"/>
      <c r="R39" s="28"/>
      <c r="S39" s="28"/>
      <c r="T39" s="28"/>
      <c r="U39" s="28"/>
    </row>
    <row r="40">
      <c r="A40" s="1" t="s">
        <v>106</v>
      </c>
      <c r="B40" s="8" t="s">
        <v>107</v>
      </c>
      <c r="C40" s="33"/>
      <c r="D40" s="25">
        <v>0.331502</v>
      </c>
      <c r="E40" s="26">
        <v>0.33674642</v>
      </c>
      <c r="F40" s="25">
        <v>0.34351867</v>
      </c>
      <c r="G40" s="28"/>
      <c r="H40" s="27"/>
      <c r="I40" s="28"/>
      <c r="J40" s="25">
        <v>0.1792729</v>
      </c>
      <c r="K40" s="26">
        <v>0.17564381</v>
      </c>
      <c r="L40" s="25">
        <v>0.18393942</v>
      </c>
      <c r="M40" s="28"/>
      <c r="N40" s="27"/>
      <c r="O40" s="28"/>
      <c r="P40" s="28"/>
      <c r="Q40" s="28"/>
      <c r="R40" s="28"/>
      <c r="S40" s="28"/>
      <c r="T40" s="28"/>
      <c r="U40" s="28"/>
    </row>
    <row r="41">
      <c r="A41" s="1" t="s">
        <v>108</v>
      </c>
      <c r="B41" s="8" t="s">
        <v>109</v>
      </c>
      <c r="C41" s="33" t="s">
        <v>110</v>
      </c>
      <c r="D41" s="25">
        <v>3.77484E-14</v>
      </c>
      <c r="E41" s="26">
        <v>4.03244454E-14</v>
      </c>
      <c r="F41" s="25">
        <v>3.95972917E-14</v>
      </c>
      <c r="G41" s="28"/>
      <c r="H41" s="27"/>
      <c r="I41" s="28"/>
      <c r="J41" s="25">
        <v>1.334023E-13</v>
      </c>
      <c r="K41" s="39">
        <v>1.36687378E-13</v>
      </c>
      <c r="L41" s="25">
        <v>1.28542933E-13</v>
      </c>
      <c r="M41" s="28"/>
      <c r="N41" s="27"/>
      <c r="O41" s="28"/>
      <c r="P41" s="28"/>
      <c r="Q41" s="28"/>
      <c r="R41" s="28"/>
      <c r="S41" s="28"/>
      <c r="T41" s="28"/>
      <c r="U41" s="28"/>
    </row>
    <row r="42">
      <c r="A42" s="1" t="s">
        <v>111</v>
      </c>
      <c r="B42" s="8" t="s">
        <v>112</v>
      </c>
      <c r="C42" s="31" t="s">
        <v>110</v>
      </c>
      <c r="D42" s="25">
        <v>9.542153</v>
      </c>
      <c r="E42" s="39">
        <v>9.81504024</v>
      </c>
      <c r="F42" s="25">
        <v>9.93103552</v>
      </c>
      <c r="G42" s="28"/>
      <c r="H42" s="27"/>
      <c r="I42" s="28"/>
      <c r="J42" s="25">
        <v>6.92768</v>
      </c>
      <c r="K42" s="26">
        <v>6.58117618</v>
      </c>
      <c r="L42" s="25">
        <v>6.75627792</v>
      </c>
      <c r="M42" s="28"/>
      <c r="N42" s="27"/>
      <c r="O42" s="28"/>
      <c r="P42" s="28"/>
      <c r="Q42" s="28"/>
      <c r="R42" s="28"/>
      <c r="S42" s="28"/>
      <c r="T42" s="28"/>
      <c r="U42" s="28"/>
    </row>
    <row r="43">
      <c r="A43" s="1" t="s">
        <v>113</v>
      </c>
      <c r="B43" s="8" t="s">
        <v>114</v>
      </c>
      <c r="C43" s="28"/>
      <c r="D43" s="25">
        <v>9.054697</v>
      </c>
      <c r="E43" s="26">
        <v>9.04620967</v>
      </c>
      <c r="F43" s="25">
        <v>9.04637718</v>
      </c>
      <c r="G43" s="28"/>
      <c r="H43" s="27"/>
      <c r="I43" s="28"/>
      <c r="J43" s="25">
        <v>36.29151</v>
      </c>
      <c r="K43" s="26">
        <v>36.18483868</v>
      </c>
      <c r="L43" s="25">
        <v>36.18547095</v>
      </c>
      <c r="M43" s="28"/>
      <c r="N43" s="27"/>
      <c r="O43" s="28"/>
      <c r="P43" s="28"/>
      <c r="Q43" s="28"/>
      <c r="R43" s="28"/>
      <c r="S43" s="28"/>
      <c r="T43" s="28"/>
      <c r="U43" s="28"/>
    </row>
    <row r="44">
      <c r="A44" s="1" t="s">
        <v>115</v>
      </c>
      <c r="B44" s="8" t="s">
        <v>116</v>
      </c>
      <c r="C44" s="28"/>
      <c r="D44" s="25">
        <v>3.79303</v>
      </c>
      <c r="E44" s="26">
        <v>3.789934</v>
      </c>
      <c r="F44" s="25">
        <v>3.789934</v>
      </c>
      <c r="G44" s="28"/>
      <c r="H44" s="27"/>
      <c r="I44" s="28"/>
      <c r="J44" s="25">
        <v>8.187937</v>
      </c>
      <c r="K44" s="26">
        <v>8.180824</v>
      </c>
      <c r="L44" s="25">
        <v>8.180824</v>
      </c>
      <c r="M44" s="28"/>
      <c r="N44" s="27"/>
      <c r="O44" s="28"/>
      <c r="P44" s="28"/>
      <c r="Q44" s="28"/>
      <c r="R44" s="28"/>
      <c r="S44" s="28"/>
      <c r="T44" s="28"/>
      <c r="U44" s="28"/>
    </row>
    <row r="45">
      <c r="A45" s="1" t="s">
        <v>117</v>
      </c>
      <c r="B45" s="8" t="s">
        <v>118</v>
      </c>
      <c r="C45" s="8" t="s">
        <v>119</v>
      </c>
      <c r="D45" s="27"/>
      <c r="E45" s="34"/>
      <c r="F45" s="30"/>
      <c r="G45" s="28"/>
      <c r="H45" s="27"/>
      <c r="I45" s="28"/>
      <c r="J45" s="27"/>
      <c r="K45" s="34"/>
      <c r="L45" s="30"/>
      <c r="M45" s="28"/>
      <c r="N45" s="27"/>
      <c r="O45" s="28"/>
      <c r="P45" s="28"/>
      <c r="Q45" s="28"/>
      <c r="R45" s="28"/>
      <c r="S45" s="28"/>
      <c r="T45" s="28"/>
      <c r="U45" s="28"/>
    </row>
    <row r="46">
      <c r="A46" s="1" t="s">
        <v>120</v>
      </c>
      <c r="B46" s="8" t="s">
        <v>121</v>
      </c>
      <c r="C46" s="28"/>
      <c r="D46" s="25">
        <v>0.0</v>
      </c>
      <c r="E46" s="34"/>
      <c r="F46" s="30"/>
      <c r="G46" s="28"/>
      <c r="H46" s="27"/>
      <c r="I46" s="28"/>
      <c r="J46" s="27"/>
      <c r="K46" s="34"/>
      <c r="L46" s="30"/>
      <c r="M46" s="28"/>
      <c r="N46" s="27"/>
      <c r="O46" s="28"/>
      <c r="P46" s="28"/>
      <c r="Q46" s="28"/>
      <c r="R46" s="28"/>
      <c r="S46" s="28"/>
      <c r="T46" s="28"/>
      <c r="U46" s="28"/>
    </row>
    <row r="47">
      <c r="A47" s="1" t="s">
        <v>122</v>
      </c>
      <c r="B47" s="8" t="s">
        <v>123</v>
      </c>
      <c r="C47" s="33" t="s">
        <v>102</v>
      </c>
      <c r="D47" s="29">
        <v>6043.7256</v>
      </c>
      <c r="E47" s="34"/>
      <c r="F47" s="30"/>
      <c r="G47" s="28"/>
      <c r="H47" s="27"/>
      <c r="I47" s="28"/>
      <c r="J47" s="27"/>
      <c r="K47" s="34"/>
      <c r="L47" s="30"/>
      <c r="M47" s="28"/>
      <c r="N47" s="27"/>
      <c r="O47" s="28"/>
      <c r="P47" s="28"/>
      <c r="Q47" s="28"/>
      <c r="R47" s="28"/>
      <c r="S47" s="28"/>
      <c r="T47" s="28"/>
      <c r="U47" s="28"/>
    </row>
    <row r="48">
      <c r="B48" s="28"/>
      <c r="C48" s="28"/>
      <c r="D48" s="27"/>
      <c r="E48" s="34"/>
      <c r="F48" s="30"/>
      <c r="G48" s="28"/>
      <c r="H48" s="27"/>
      <c r="I48" s="28"/>
      <c r="J48" s="27"/>
      <c r="K48" s="34"/>
      <c r="L48" s="30"/>
      <c r="M48" s="28"/>
      <c r="N48" s="27"/>
      <c r="O48" s="28"/>
      <c r="P48" s="28"/>
      <c r="Q48" s="28"/>
      <c r="R48" s="28"/>
      <c r="S48" s="28"/>
      <c r="T48" s="28"/>
      <c r="U48" s="28"/>
    </row>
    <row r="49">
      <c r="A49" s="20" t="s">
        <v>124</v>
      </c>
      <c r="B49" s="21" t="s">
        <v>125</v>
      </c>
      <c r="C49" s="46"/>
      <c r="D49" s="23"/>
      <c r="E49" s="23"/>
      <c r="F49" s="24"/>
      <c r="G49" s="22"/>
      <c r="H49" s="22"/>
      <c r="I49" s="28"/>
      <c r="J49" s="22"/>
      <c r="K49" s="37"/>
      <c r="L49" s="37"/>
      <c r="M49" s="22"/>
      <c r="N49" s="22"/>
      <c r="O49" s="22"/>
      <c r="P49" s="22"/>
      <c r="Q49" s="22"/>
      <c r="R49" s="22"/>
      <c r="S49" s="22"/>
      <c r="T49" s="22"/>
      <c r="U49" s="22"/>
      <c r="V49" s="23"/>
      <c r="W49" s="23"/>
      <c r="X49" s="23"/>
      <c r="Y49" s="23"/>
      <c r="Z49" s="23"/>
      <c r="AA49" s="23"/>
      <c r="AB49" s="23"/>
    </row>
    <row r="50">
      <c r="A50" s="47" t="s">
        <v>126</v>
      </c>
      <c r="B50" s="48"/>
      <c r="C50" s="48"/>
      <c r="D50" s="49">
        <f t="shared" ref="D50:H50" si="1">D33*D13*D40*D27*D26*D25*D15</f>
        <v>0.02311640101</v>
      </c>
      <c r="E50" s="49">
        <f t="shared" si="1"/>
        <v>0.02150633195</v>
      </c>
      <c r="F50" s="49">
        <f t="shared" si="1"/>
        <v>0.02161314852</v>
      </c>
      <c r="G50" s="50" t="str">
        <f t="shared" si="1"/>
        <v>#VALUE!</v>
      </c>
      <c r="H50" s="50">
        <f t="shared" si="1"/>
        <v>0</v>
      </c>
      <c r="I50" s="28"/>
      <c r="J50" s="49">
        <f t="shared" ref="J50:N50" si="2">J33*J13*J40*J27*J26*J25*J15</f>
        <v>0.01692387247</v>
      </c>
      <c r="K50" s="49">
        <f t="shared" si="2"/>
        <v>0.0151187127</v>
      </c>
      <c r="L50" s="49">
        <f t="shared" si="2"/>
        <v>0.01478221323</v>
      </c>
      <c r="M50" s="50">
        <f t="shared" si="2"/>
        <v>0</v>
      </c>
      <c r="N50" s="50">
        <f t="shared" si="2"/>
        <v>0</v>
      </c>
      <c r="O50" s="28"/>
      <c r="P50" s="28"/>
      <c r="Q50" s="28"/>
      <c r="R50" s="28"/>
      <c r="S50" s="28"/>
      <c r="T50" s="28"/>
      <c r="U50" s="28"/>
    </row>
    <row r="51">
      <c r="A51" s="1" t="s">
        <v>127</v>
      </c>
      <c r="B51" s="8" t="s">
        <v>128</v>
      </c>
      <c r="C51" s="8" t="s">
        <v>129</v>
      </c>
      <c r="D51" s="25">
        <v>0.0231164</v>
      </c>
      <c r="E51" s="26">
        <v>0.02150748</v>
      </c>
      <c r="F51" s="25">
        <v>0.02161315</v>
      </c>
      <c r="G51" s="28"/>
      <c r="H51" s="27"/>
      <c r="I51" s="28"/>
      <c r="J51" s="25">
        <v>0.01692387</v>
      </c>
      <c r="K51" s="26">
        <v>0.01511871</v>
      </c>
      <c r="L51" s="25">
        <v>0.01478221</v>
      </c>
      <c r="M51" s="28"/>
      <c r="N51" s="27"/>
      <c r="O51" s="28"/>
      <c r="P51" s="28"/>
      <c r="Q51" s="28"/>
      <c r="R51" s="28"/>
      <c r="S51" s="28"/>
      <c r="T51" s="28"/>
      <c r="U51" s="28"/>
    </row>
    <row r="52">
      <c r="A52" s="47" t="s">
        <v>130</v>
      </c>
      <c r="B52" s="48"/>
      <c r="C52" s="48"/>
      <c r="D52" s="51">
        <f t="shared" ref="D52:H52" si="3">D32*D41*D39*D13*D27*D26*D25*D15</f>
        <v>0.00009385972442</v>
      </c>
      <c r="E52" s="51">
        <f t="shared" si="3"/>
        <v>0.00009166326429</v>
      </c>
      <c r="F52" s="51">
        <f t="shared" si="3"/>
        <v>0.00009270558874</v>
      </c>
      <c r="G52" s="51" t="str">
        <f t="shared" si="3"/>
        <v>#VALUE!</v>
      </c>
      <c r="H52" s="51">
        <f t="shared" si="3"/>
        <v>0</v>
      </c>
      <c r="I52" s="26"/>
      <c r="J52" s="51">
        <f t="shared" ref="J52:N52" si="4">J32*J41*J39*J13*J27*J26*J25*J15</f>
        <v>0.0004499520002</v>
      </c>
      <c r="K52" s="51">
        <f t="shared" si="4"/>
        <v>0.0004187460126</v>
      </c>
      <c r="L52" s="51">
        <f t="shared" si="4"/>
        <v>0.0003844015617</v>
      </c>
      <c r="M52" s="51">
        <f t="shared" si="4"/>
        <v>0</v>
      </c>
      <c r="N52" s="51">
        <f t="shared" si="4"/>
        <v>0</v>
      </c>
      <c r="O52" s="28"/>
      <c r="P52" s="28"/>
      <c r="Q52" s="28"/>
      <c r="R52" s="28"/>
      <c r="S52" s="28"/>
      <c r="T52" s="28"/>
      <c r="U52" s="28"/>
    </row>
    <row r="53">
      <c r="A53" s="1" t="s">
        <v>131</v>
      </c>
      <c r="B53" s="8" t="s">
        <v>132</v>
      </c>
      <c r="C53" s="8" t="s">
        <v>129</v>
      </c>
      <c r="D53" s="25">
        <v>9.385974E-5</v>
      </c>
      <c r="E53" s="26">
        <v>9.1806661527423E-5</v>
      </c>
      <c r="F53" s="25">
        <v>9.27055888E-5</v>
      </c>
      <c r="G53" s="28"/>
      <c r="H53" s="27"/>
      <c r="I53" s="28"/>
      <c r="J53" s="25">
        <v>4.499519E-4</v>
      </c>
      <c r="K53" s="26">
        <v>4.19401093709933E-4</v>
      </c>
      <c r="L53" s="25">
        <v>3.844E-4</v>
      </c>
      <c r="M53" s="52"/>
      <c r="N53" s="27"/>
      <c r="O53" s="28"/>
      <c r="P53" s="28"/>
      <c r="Q53" s="28"/>
      <c r="R53" s="28"/>
      <c r="S53" s="28"/>
      <c r="T53" s="28"/>
      <c r="U53" s="28"/>
    </row>
    <row r="54">
      <c r="A54" s="1" t="s">
        <v>133</v>
      </c>
      <c r="B54" s="8" t="s">
        <v>134</v>
      </c>
      <c r="C54" s="8" t="s">
        <v>129</v>
      </c>
      <c r="D54" s="25">
        <v>0.01688702</v>
      </c>
      <c r="E54" s="26">
        <v>0.0272797157626044</v>
      </c>
      <c r="F54" s="25">
        <v>0.01962453</v>
      </c>
      <c r="G54" s="28"/>
      <c r="H54" s="27"/>
      <c r="I54" s="28"/>
      <c r="J54" s="25">
        <v>0.09071789</v>
      </c>
      <c r="K54" s="26">
        <v>0.0392580371013615</v>
      </c>
      <c r="L54" s="25">
        <v>0.09859162</v>
      </c>
      <c r="M54" s="28"/>
      <c r="N54" s="27"/>
      <c r="O54" s="28"/>
      <c r="P54" s="28"/>
      <c r="Q54" s="28"/>
      <c r="R54" s="28"/>
      <c r="S54" s="28"/>
      <c r="T54" s="28"/>
      <c r="U54" s="28"/>
    </row>
    <row r="55">
      <c r="A55" s="1" t="s">
        <v>135</v>
      </c>
      <c r="B55" s="8" t="s">
        <v>136</v>
      </c>
      <c r="C55" s="8" t="s">
        <v>129</v>
      </c>
      <c r="D55" s="25">
        <v>0.1880163</v>
      </c>
      <c r="E55" s="26">
        <v>0.205570643638572</v>
      </c>
      <c r="F55" s="25">
        <v>0.20825992</v>
      </c>
      <c r="G55" s="28"/>
      <c r="H55" s="27"/>
      <c r="I55" s="28"/>
      <c r="J55" s="25">
        <v>0.7406605</v>
      </c>
      <c r="K55" s="26">
        <v>0.295835192167829</v>
      </c>
      <c r="L55" s="25">
        <v>0.30408568</v>
      </c>
      <c r="M55" s="28"/>
      <c r="N55" s="27"/>
      <c r="O55" s="28"/>
      <c r="P55" s="28"/>
      <c r="Q55" s="28"/>
      <c r="R55" s="28"/>
      <c r="S55" s="28"/>
      <c r="T55" s="28"/>
      <c r="U55" s="28"/>
    </row>
    <row r="56">
      <c r="A56" s="1" t="s">
        <v>137</v>
      </c>
      <c r="B56" s="8" t="s">
        <v>138</v>
      </c>
      <c r="C56" s="8" t="s">
        <v>129</v>
      </c>
      <c r="D56" s="25">
        <v>0.0</v>
      </c>
      <c r="E56" s="26">
        <v>0.0</v>
      </c>
      <c r="F56" s="25">
        <v>0.0</v>
      </c>
      <c r="G56" s="28"/>
      <c r="H56" s="27"/>
      <c r="I56" s="28"/>
      <c r="J56" s="25">
        <v>0.0</v>
      </c>
      <c r="K56" s="26">
        <v>0.0</v>
      </c>
      <c r="L56" s="25">
        <v>0.0</v>
      </c>
      <c r="M56" s="28"/>
      <c r="N56" s="27"/>
      <c r="O56" s="28"/>
      <c r="P56" s="28"/>
      <c r="Q56" s="28"/>
      <c r="R56" s="28"/>
      <c r="S56" s="28"/>
      <c r="T56" s="28"/>
      <c r="U56" s="28"/>
    </row>
    <row r="57">
      <c r="A57" s="1" t="s">
        <v>139</v>
      </c>
      <c r="B57" s="8" t="s">
        <v>140</v>
      </c>
      <c r="C57" s="8" t="s">
        <v>129</v>
      </c>
      <c r="D57" s="25">
        <v>0.003374993</v>
      </c>
      <c r="E57" s="26">
        <v>0.00337436</v>
      </c>
      <c r="F57" s="25">
        <v>0.00337442</v>
      </c>
      <c r="G57" s="28"/>
      <c r="H57" s="27"/>
      <c r="I57" s="28"/>
      <c r="J57" s="25">
        <v>0.006851111</v>
      </c>
      <c r="K57" s="26">
        <v>0.00683561</v>
      </c>
      <c r="L57" s="25">
        <v>0.00683574</v>
      </c>
      <c r="M57" s="28"/>
      <c r="N57" s="27"/>
      <c r="O57" s="28"/>
      <c r="P57" s="28"/>
      <c r="Q57" s="28"/>
      <c r="R57" s="28"/>
      <c r="S57" s="28"/>
      <c r="T57" s="28"/>
      <c r="U57" s="28"/>
    </row>
    <row r="58">
      <c r="A58" s="1" t="s">
        <v>141</v>
      </c>
      <c r="B58" s="8" t="s">
        <v>142</v>
      </c>
      <c r="C58" s="8" t="s">
        <v>129</v>
      </c>
      <c r="D58" s="25">
        <v>2.721932E-6</v>
      </c>
      <c r="E58" s="39">
        <v>2.66239318429526E-6</v>
      </c>
      <c r="F58" s="25">
        <v>2.68846207E-6</v>
      </c>
      <c r="G58" s="28"/>
      <c r="H58" s="27"/>
      <c r="I58" s="28"/>
      <c r="J58" s="25">
        <v>1.304861E-5</v>
      </c>
      <c r="K58" s="26">
        <v>1.2162631717588E-5</v>
      </c>
      <c r="L58" s="25">
        <v>1.11476569E-5</v>
      </c>
      <c r="M58" s="28"/>
      <c r="N58" s="27"/>
      <c r="O58" s="28"/>
      <c r="P58" s="28"/>
      <c r="Q58" s="28"/>
      <c r="R58" s="28"/>
      <c r="S58" s="28"/>
      <c r="T58" s="28"/>
      <c r="U58" s="28"/>
    </row>
    <row r="59">
      <c r="B59" s="28"/>
      <c r="C59" s="28"/>
      <c r="D59" s="27"/>
      <c r="E59" s="34"/>
      <c r="F59" s="30"/>
      <c r="G59" s="28"/>
      <c r="H59" s="27"/>
      <c r="I59" s="28"/>
      <c r="J59" s="27"/>
      <c r="K59" s="53"/>
      <c r="L59" s="27"/>
      <c r="M59" s="28"/>
      <c r="N59" s="27"/>
      <c r="O59" s="28"/>
      <c r="P59" s="28"/>
      <c r="Q59" s="28"/>
      <c r="R59" s="28"/>
      <c r="S59" s="28"/>
      <c r="T59" s="28"/>
      <c r="U59" s="28"/>
    </row>
    <row r="60">
      <c r="A60" s="20" t="s">
        <v>143</v>
      </c>
      <c r="B60" s="22"/>
      <c r="C60" s="22"/>
      <c r="D60" s="22"/>
      <c r="E60" s="37"/>
      <c r="F60" s="37"/>
      <c r="G60" s="22"/>
      <c r="H60" s="22"/>
      <c r="I60" s="28"/>
      <c r="J60" s="22"/>
      <c r="K60" s="37"/>
      <c r="L60" s="37"/>
      <c r="M60" s="22"/>
      <c r="N60" s="22"/>
      <c r="O60" s="22"/>
      <c r="P60" s="22"/>
      <c r="Q60" s="22"/>
      <c r="R60" s="22"/>
      <c r="S60" s="22"/>
      <c r="T60" s="22"/>
      <c r="U60" s="22"/>
      <c r="V60" s="23"/>
      <c r="W60" s="23"/>
      <c r="X60" s="23"/>
      <c r="Y60" s="23"/>
      <c r="Z60" s="23"/>
      <c r="AA60" s="23"/>
      <c r="AB60" s="23"/>
    </row>
    <row r="61">
      <c r="A61" s="47" t="s">
        <v>144</v>
      </c>
      <c r="B61" s="48"/>
      <c r="C61" s="48"/>
      <c r="D61" s="51">
        <f t="shared" ref="D61:H61" si="5">D17^2*(D51+2*sum(D53:D57))/(D51^2-D17^2*D58^2)</f>
        <v>40333.98937</v>
      </c>
      <c r="E61" s="51">
        <f t="shared" si="5"/>
        <v>52344.11112</v>
      </c>
      <c r="F61" s="51">
        <f t="shared" si="5"/>
        <v>50803.00025</v>
      </c>
      <c r="G61" s="51" t="str">
        <f t="shared" si="5"/>
        <v>#VALUE!</v>
      </c>
      <c r="H61" s="51" t="str">
        <f t="shared" si="5"/>
        <v>#DIV/0!</v>
      </c>
      <c r="I61" s="26"/>
      <c r="J61" s="51">
        <f t="shared" ref="J61:N61" si="6">J17^2*(J51+2*sum(J53:J57))/(J51^2-J17^2*J58^2)</f>
        <v>289864.6569</v>
      </c>
      <c r="K61" s="51">
        <f t="shared" si="6"/>
        <v>150025.0377</v>
      </c>
      <c r="L61" s="51">
        <f t="shared" si="6"/>
        <v>187152.6177</v>
      </c>
      <c r="M61" s="51" t="str">
        <f t="shared" si="6"/>
        <v>#DIV/0!</v>
      </c>
      <c r="N61" s="51" t="str">
        <f t="shared" si="6"/>
        <v>#DIV/0!</v>
      </c>
      <c r="O61" s="26"/>
      <c r="P61" s="28"/>
      <c r="Q61" s="28"/>
      <c r="R61" s="28"/>
      <c r="S61" s="28"/>
      <c r="T61" s="28"/>
      <c r="U61" s="28"/>
    </row>
    <row r="62">
      <c r="A62" s="47" t="s">
        <v>145</v>
      </c>
      <c r="B62" s="50"/>
      <c r="C62" s="50"/>
      <c r="D62" s="54">
        <f t="shared" ref="D62:H62" si="7">D17^2*(sum(D53:D57))/(D51^2-D17^2*D58^2)</f>
        <v>19107.14035</v>
      </c>
      <c r="E62" s="54">
        <f t="shared" si="7"/>
        <v>25032.91614</v>
      </c>
      <c r="F62" s="54">
        <f t="shared" si="7"/>
        <v>24267.93012</v>
      </c>
      <c r="G62" s="54" t="str">
        <f t="shared" si="7"/>
        <v>#VALUE!</v>
      </c>
      <c r="H62" s="54" t="str">
        <f t="shared" si="7"/>
        <v>#DIV/0!</v>
      </c>
      <c r="I62" s="55"/>
      <c r="J62" s="54">
        <f t="shared" ref="J62:N62" si="8">J17^2*(sum(J53:J57))/(J51^2-J17^2*J58^2)</f>
        <v>143484.6269</v>
      </c>
      <c r="K62" s="54">
        <f t="shared" si="8"/>
        <v>73391.95883</v>
      </c>
      <c r="L62" s="54">
        <f t="shared" si="8"/>
        <v>91918.865</v>
      </c>
      <c r="M62" s="54" t="str">
        <f t="shared" si="8"/>
        <v>#DIV/0!</v>
      </c>
      <c r="N62" s="54" t="str">
        <f t="shared" si="8"/>
        <v>#DIV/0!</v>
      </c>
      <c r="O62" s="45"/>
      <c r="P62" s="45"/>
      <c r="Q62" s="45"/>
      <c r="R62" s="45"/>
      <c r="S62" s="45"/>
      <c r="T62" s="45"/>
      <c r="U62" s="45"/>
      <c r="V62" s="45"/>
      <c r="W62" s="45"/>
      <c r="X62" s="45"/>
      <c r="Y62" s="45"/>
      <c r="Z62" s="45"/>
      <c r="AA62" s="45"/>
      <c r="AB62" s="45"/>
    </row>
    <row r="63">
      <c r="A63" s="1" t="s">
        <v>146</v>
      </c>
      <c r="B63" s="8" t="s">
        <v>147</v>
      </c>
      <c r="C63" s="8" t="s">
        <v>56</v>
      </c>
      <c r="D63" s="25">
        <v>40333.99</v>
      </c>
      <c r="E63" s="26">
        <v>25032.9087348214</v>
      </c>
      <c r="F63" s="25">
        <v>24348.6078</v>
      </c>
      <c r="G63" s="8" t="s">
        <v>148</v>
      </c>
      <c r="H63" s="27"/>
      <c r="I63" s="28"/>
      <c r="J63" s="13">
        <v>289864.5</v>
      </c>
      <c r="K63" s="26">
        <v>73391.9303435957</v>
      </c>
      <c r="L63" s="13">
        <v>91918.82731093</v>
      </c>
      <c r="M63" s="28"/>
      <c r="N63" s="40"/>
      <c r="O63" s="28"/>
      <c r="P63" s="28"/>
      <c r="Q63" s="28"/>
      <c r="R63" s="28"/>
      <c r="S63" s="28"/>
      <c r="T63" s="28"/>
      <c r="U63" s="28"/>
    </row>
    <row r="64">
      <c r="A64" s="1" t="s">
        <v>149</v>
      </c>
      <c r="B64" s="8" t="s">
        <v>150</v>
      </c>
      <c r="C64" s="8" t="s">
        <v>56</v>
      </c>
      <c r="D64" s="25">
        <v>52617.28</v>
      </c>
      <c r="E64" s="26">
        <v>35816.1996083035</v>
      </c>
      <c r="F64" s="25">
        <v>32628.6049</v>
      </c>
      <c r="G64" s="28"/>
      <c r="H64" s="27"/>
      <c r="I64" s="28"/>
      <c r="J64" s="13">
        <v>327100.8</v>
      </c>
      <c r="K64" s="26">
        <v>89011.1233779553</v>
      </c>
      <c r="L64" s="13">
        <v>100198.82443093</v>
      </c>
      <c r="M64" s="28"/>
      <c r="N64" s="40"/>
      <c r="O64" s="28"/>
      <c r="P64" s="28"/>
      <c r="Q64" s="28"/>
      <c r="R64" s="28"/>
      <c r="S64" s="28"/>
      <c r="T64" s="28"/>
      <c r="U64" s="28"/>
    </row>
    <row r="65">
      <c r="B65" s="28"/>
      <c r="C65" s="28"/>
      <c r="E65" s="55"/>
      <c r="F65" s="55"/>
      <c r="K65" s="55"/>
      <c r="L65" s="55"/>
    </row>
    <row r="66">
      <c r="B66" s="28"/>
      <c r="C66" s="28"/>
      <c r="F66" s="55"/>
      <c r="K66" s="55"/>
      <c r="L66" s="55"/>
    </row>
    <row r="67">
      <c r="B67" s="28"/>
      <c r="C67" s="28"/>
      <c r="E67" s="55"/>
      <c r="F67" s="55"/>
      <c r="K67" s="55"/>
      <c r="L67" s="55"/>
    </row>
    <row r="68">
      <c r="B68" s="28"/>
      <c r="C68" s="28"/>
      <c r="E68" s="55"/>
      <c r="F68" s="55"/>
      <c r="K68" s="55"/>
      <c r="L68" s="55"/>
    </row>
    <row r="69">
      <c r="B69" s="28"/>
      <c r="C69" s="28"/>
      <c r="E69" s="55"/>
      <c r="F69" s="55"/>
      <c r="K69" s="55"/>
      <c r="L69" s="55"/>
    </row>
    <row r="70">
      <c r="B70" s="28"/>
      <c r="C70" s="28"/>
      <c r="E70" s="55"/>
      <c r="F70" s="55"/>
      <c r="K70" s="55"/>
      <c r="L70" s="55"/>
    </row>
    <row r="71">
      <c r="B71" s="28"/>
      <c r="C71" s="28"/>
      <c r="E71" s="55"/>
      <c r="F71" s="55"/>
      <c r="K71" s="55"/>
      <c r="L71" s="55"/>
    </row>
    <row r="72">
      <c r="B72" s="28"/>
      <c r="C72" s="28"/>
      <c r="E72" s="55"/>
      <c r="F72" s="55"/>
      <c r="K72" s="55"/>
      <c r="L72" s="55"/>
    </row>
    <row r="73">
      <c r="B73" s="28"/>
      <c r="C73" s="28"/>
      <c r="E73" s="55"/>
      <c r="F73" s="55"/>
      <c r="K73" s="55"/>
      <c r="L73" s="55"/>
    </row>
    <row r="74">
      <c r="B74" s="28"/>
      <c r="C74" s="28"/>
      <c r="E74" s="55"/>
      <c r="F74" s="55"/>
      <c r="K74" s="55"/>
      <c r="L74" s="55"/>
    </row>
    <row r="75">
      <c r="B75" s="28"/>
      <c r="C75" s="28"/>
      <c r="E75" s="55"/>
      <c r="F75" s="55"/>
      <c r="K75" s="55"/>
      <c r="L75" s="55"/>
    </row>
    <row r="76">
      <c r="B76" s="28"/>
      <c r="C76" s="28"/>
      <c r="E76" s="55"/>
      <c r="F76" s="55"/>
      <c r="K76" s="55"/>
      <c r="L76" s="55"/>
    </row>
    <row r="77">
      <c r="B77" s="28"/>
      <c r="C77" s="28"/>
      <c r="E77" s="55"/>
      <c r="F77" s="55"/>
      <c r="K77" s="55"/>
      <c r="L77" s="55"/>
    </row>
    <row r="78">
      <c r="B78" s="28"/>
      <c r="C78" s="28"/>
      <c r="E78" s="55"/>
      <c r="F78" s="55"/>
      <c r="K78" s="55"/>
      <c r="L78" s="55"/>
    </row>
    <row r="79">
      <c r="B79" s="28"/>
      <c r="C79" s="28"/>
      <c r="E79" s="55"/>
      <c r="F79" s="55"/>
      <c r="K79" s="55"/>
      <c r="L79" s="55"/>
    </row>
    <row r="80">
      <c r="B80" s="28"/>
      <c r="C80" s="28"/>
      <c r="E80" s="55"/>
      <c r="F80" s="55"/>
      <c r="K80" s="55"/>
      <c r="L80" s="55"/>
    </row>
    <row r="81">
      <c r="B81" s="28"/>
      <c r="C81" s="28"/>
      <c r="E81" s="55"/>
      <c r="F81" s="55"/>
      <c r="K81" s="55"/>
      <c r="L81" s="55"/>
    </row>
    <row r="82">
      <c r="B82" s="28"/>
      <c r="C82" s="28"/>
      <c r="E82" s="55"/>
      <c r="F82" s="55"/>
      <c r="K82" s="55"/>
      <c r="L82" s="55"/>
    </row>
    <row r="83">
      <c r="B83" s="28"/>
      <c r="C83" s="28"/>
      <c r="E83" s="55"/>
      <c r="F83" s="55"/>
      <c r="K83" s="55"/>
      <c r="L83" s="55"/>
    </row>
    <row r="84">
      <c r="B84" s="28"/>
      <c r="C84" s="28"/>
      <c r="E84" s="55"/>
      <c r="F84" s="55"/>
      <c r="K84" s="55"/>
      <c r="L84" s="55"/>
    </row>
    <row r="85">
      <c r="B85" s="28"/>
      <c r="C85" s="28"/>
      <c r="E85" s="55"/>
      <c r="F85" s="55"/>
      <c r="K85" s="55"/>
      <c r="L85" s="55"/>
    </row>
    <row r="86">
      <c r="B86" s="28"/>
      <c r="C86" s="28"/>
      <c r="E86" s="55"/>
      <c r="F86" s="55"/>
      <c r="K86" s="55"/>
      <c r="L86" s="55"/>
    </row>
    <row r="87">
      <c r="B87" s="28"/>
      <c r="C87" s="28"/>
      <c r="E87" s="55"/>
      <c r="F87" s="55"/>
      <c r="K87" s="55"/>
      <c r="L87" s="55"/>
    </row>
    <row r="88">
      <c r="B88" s="28"/>
      <c r="C88" s="28"/>
      <c r="E88" s="55"/>
      <c r="F88" s="55"/>
      <c r="K88" s="55"/>
      <c r="L88" s="55"/>
    </row>
    <row r="89">
      <c r="B89" s="28"/>
      <c r="C89" s="28"/>
      <c r="E89" s="55"/>
      <c r="F89" s="55"/>
      <c r="K89" s="55"/>
      <c r="L89" s="55"/>
    </row>
    <row r="90">
      <c r="B90" s="28"/>
      <c r="C90" s="28"/>
      <c r="E90" s="55"/>
      <c r="F90" s="55"/>
      <c r="K90" s="55"/>
      <c r="L90" s="55"/>
    </row>
    <row r="91">
      <c r="B91" s="28"/>
      <c r="C91" s="28"/>
      <c r="E91" s="55"/>
      <c r="F91" s="55"/>
      <c r="K91" s="55"/>
      <c r="L91" s="55"/>
    </row>
    <row r="92">
      <c r="B92" s="28"/>
      <c r="C92" s="28"/>
      <c r="E92" s="55"/>
      <c r="F92" s="55"/>
      <c r="K92" s="55"/>
      <c r="L92" s="55"/>
    </row>
    <row r="93">
      <c r="B93" s="28"/>
      <c r="C93" s="28"/>
      <c r="E93" s="55"/>
      <c r="F93" s="55"/>
      <c r="K93" s="55"/>
      <c r="L93" s="55"/>
    </row>
    <row r="94">
      <c r="B94" s="28"/>
      <c r="C94" s="28"/>
      <c r="E94" s="55"/>
      <c r="F94" s="55"/>
      <c r="K94" s="55"/>
      <c r="L94" s="55"/>
    </row>
    <row r="95">
      <c r="B95" s="28"/>
      <c r="C95" s="28"/>
      <c r="E95" s="55"/>
      <c r="F95" s="55"/>
      <c r="K95" s="55"/>
      <c r="L95" s="55"/>
    </row>
    <row r="96">
      <c r="B96" s="28"/>
      <c r="C96" s="28"/>
      <c r="E96" s="55"/>
      <c r="F96" s="55"/>
      <c r="K96" s="55"/>
      <c r="L96" s="55"/>
    </row>
    <row r="97">
      <c r="B97" s="28"/>
      <c r="C97" s="28"/>
      <c r="E97" s="55"/>
      <c r="F97" s="55"/>
      <c r="K97" s="55"/>
      <c r="L97" s="55"/>
    </row>
    <row r="98">
      <c r="B98" s="28"/>
      <c r="C98" s="28"/>
      <c r="E98" s="55"/>
      <c r="F98" s="55"/>
      <c r="K98" s="55"/>
      <c r="L98" s="55"/>
    </row>
    <row r="99">
      <c r="B99" s="28"/>
      <c r="C99" s="28"/>
      <c r="E99" s="55"/>
      <c r="F99" s="55"/>
      <c r="K99" s="55"/>
      <c r="L99" s="55"/>
    </row>
    <row r="100">
      <c r="B100" s="28"/>
      <c r="C100" s="28"/>
      <c r="E100" s="55"/>
      <c r="F100" s="55"/>
      <c r="K100" s="55"/>
      <c r="L100" s="55"/>
    </row>
    <row r="101">
      <c r="B101" s="28"/>
      <c r="C101" s="28"/>
      <c r="E101" s="55"/>
      <c r="F101" s="55"/>
      <c r="K101" s="55"/>
      <c r="L101" s="55"/>
    </row>
    <row r="102">
      <c r="B102" s="28"/>
      <c r="C102" s="28"/>
      <c r="E102" s="55"/>
      <c r="F102" s="55"/>
      <c r="K102" s="55"/>
      <c r="L102" s="55"/>
    </row>
    <row r="103">
      <c r="B103" s="28"/>
      <c r="C103" s="28"/>
      <c r="E103" s="55"/>
      <c r="F103" s="55"/>
      <c r="K103" s="55"/>
      <c r="L103" s="55"/>
    </row>
    <row r="104">
      <c r="B104" s="28"/>
      <c r="C104" s="28"/>
      <c r="E104" s="55"/>
      <c r="F104" s="55"/>
      <c r="K104" s="55"/>
      <c r="L104" s="55"/>
    </row>
    <row r="105">
      <c r="B105" s="28"/>
      <c r="C105" s="28"/>
      <c r="E105" s="55"/>
      <c r="F105" s="55"/>
      <c r="K105" s="55"/>
      <c r="L105" s="55"/>
    </row>
    <row r="106">
      <c r="B106" s="28"/>
      <c r="C106" s="28"/>
      <c r="E106" s="55"/>
      <c r="F106" s="55"/>
      <c r="K106" s="55"/>
      <c r="L106" s="55"/>
    </row>
    <row r="107">
      <c r="B107" s="28"/>
      <c r="C107" s="28"/>
      <c r="E107" s="55"/>
      <c r="F107" s="55"/>
      <c r="K107" s="55"/>
      <c r="L107" s="55"/>
    </row>
    <row r="108">
      <c r="B108" s="28"/>
      <c r="C108" s="28"/>
      <c r="E108" s="55"/>
      <c r="F108" s="55"/>
      <c r="K108" s="55"/>
      <c r="L108" s="55"/>
    </row>
    <row r="109">
      <c r="B109" s="28"/>
      <c r="C109" s="28"/>
      <c r="E109" s="55"/>
      <c r="F109" s="55"/>
      <c r="K109" s="55"/>
      <c r="L109" s="55"/>
    </row>
    <row r="110">
      <c r="B110" s="28"/>
      <c r="C110" s="28"/>
      <c r="E110" s="55"/>
      <c r="F110" s="55"/>
      <c r="K110" s="55"/>
      <c r="L110" s="55"/>
    </row>
    <row r="111">
      <c r="B111" s="28"/>
      <c r="C111" s="28"/>
      <c r="E111" s="55"/>
      <c r="F111" s="55"/>
      <c r="K111" s="55"/>
      <c r="L111" s="55"/>
    </row>
    <row r="112">
      <c r="B112" s="28"/>
      <c r="C112" s="28"/>
      <c r="E112" s="55"/>
      <c r="F112" s="55"/>
      <c r="K112" s="55"/>
      <c r="L112" s="55"/>
    </row>
    <row r="113">
      <c r="B113" s="28"/>
      <c r="C113" s="28"/>
      <c r="E113" s="55"/>
      <c r="F113" s="55"/>
      <c r="K113" s="55"/>
      <c r="L113" s="55"/>
    </row>
    <row r="114">
      <c r="B114" s="28"/>
      <c r="C114" s="28"/>
      <c r="E114" s="55"/>
      <c r="F114" s="55"/>
      <c r="K114" s="55"/>
      <c r="L114" s="55"/>
    </row>
    <row r="115">
      <c r="B115" s="28"/>
      <c r="C115" s="28"/>
      <c r="E115" s="55"/>
      <c r="F115" s="55"/>
      <c r="K115" s="55"/>
      <c r="L115" s="55"/>
    </row>
    <row r="116">
      <c r="B116" s="28"/>
      <c r="C116" s="28"/>
      <c r="E116" s="55"/>
      <c r="F116" s="55"/>
      <c r="K116" s="55"/>
      <c r="L116" s="55"/>
    </row>
    <row r="117">
      <c r="B117" s="28"/>
      <c r="C117" s="28"/>
      <c r="E117" s="55"/>
      <c r="F117" s="55"/>
      <c r="K117" s="55"/>
      <c r="L117" s="55"/>
    </row>
    <row r="118">
      <c r="B118" s="28"/>
      <c r="C118" s="28"/>
      <c r="E118" s="55"/>
      <c r="F118" s="55"/>
      <c r="K118" s="55"/>
      <c r="L118" s="55"/>
    </row>
    <row r="119">
      <c r="B119" s="28"/>
      <c r="C119" s="28"/>
      <c r="E119" s="55"/>
      <c r="F119" s="55"/>
      <c r="K119" s="55"/>
      <c r="L119" s="55"/>
    </row>
    <row r="120">
      <c r="B120" s="28"/>
      <c r="C120" s="28"/>
      <c r="E120" s="55"/>
      <c r="F120" s="55"/>
      <c r="K120" s="55"/>
      <c r="L120" s="55"/>
    </row>
    <row r="121">
      <c r="B121" s="28"/>
      <c r="C121" s="28"/>
      <c r="E121" s="55"/>
      <c r="F121" s="55"/>
      <c r="K121" s="55"/>
      <c r="L121" s="55"/>
    </row>
    <row r="122">
      <c r="B122" s="28"/>
      <c r="C122" s="28"/>
      <c r="E122" s="55"/>
      <c r="F122" s="55"/>
      <c r="K122" s="55"/>
      <c r="L122" s="55"/>
    </row>
    <row r="123">
      <c r="B123" s="28"/>
      <c r="C123" s="28"/>
      <c r="E123" s="55"/>
      <c r="F123" s="55"/>
      <c r="K123" s="55"/>
      <c r="L123" s="55"/>
    </row>
    <row r="124">
      <c r="B124" s="28"/>
      <c r="C124" s="28"/>
      <c r="E124" s="55"/>
      <c r="F124" s="55"/>
      <c r="K124" s="55"/>
      <c r="L124" s="55"/>
    </row>
    <row r="125">
      <c r="B125" s="28"/>
      <c r="C125" s="28"/>
      <c r="E125" s="55"/>
      <c r="F125" s="55"/>
      <c r="K125" s="55"/>
      <c r="L125" s="55"/>
    </row>
    <row r="126">
      <c r="B126" s="28"/>
      <c r="C126" s="28"/>
      <c r="E126" s="55"/>
      <c r="F126" s="55"/>
      <c r="K126" s="55"/>
      <c r="L126" s="55"/>
    </row>
    <row r="127">
      <c r="B127" s="28"/>
      <c r="C127" s="28"/>
      <c r="E127" s="55"/>
      <c r="F127" s="55"/>
      <c r="K127" s="55"/>
      <c r="L127" s="55"/>
    </row>
    <row r="128">
      <c r="B128" s="28"/>
      <c r="C128" s="28"/>
      <c r="E128" s="55"/>
      <c r="F128" s="55"/>
      <c r="K128" s="55"/>
      <c r="L128" s="55"/>
    </row>
    <row r="129">
      <c r="B129" s="28"/>
      <c r="C129" s="28"/>
      <c r="E129" s="55"/>
      <c r="F129" s="55"/>
      <c r="K129" s="55"/>
      <c r="L129" s="55"/>
    </row>
    <row r="130">
      <c r="B130" s="28"/>
      <c r="C130" s="28"/>
      <c r="E130" s="55"/>
      <c r="F130" s="55"/>
      <c r="K130" s="55"/>
      <c r="L130" s="55"/>
    </row>
    <row r="131">
      <c r="B131" s="28"/>
      <c r="C131" s="28"/>
      <c r="E131" s="55"/>
      <c r="F131" s="55"/>
      <c r="K131" s="55"/>
      <c r="L131" s="55"/>
    </row>
    <row r="132">
      <c r="B132" s="28"/>
      <c r="C132" s="28"/>
      <c r="E132" s="55"/>
      <c r="F132" s="55"/>
      <c r="K132" s="55"/>
      <c r="L132" s="55"/>
    </row>
    <row r="133">
      <c r="B133" s="28"/>
      <c r="C133" s="28"/>
      <c r="E133" s="55"/>
      <c r="F133" s="55"/>
      <c r="K133" s="55"/>
      <c r="L133" s="55"/>
    </row>
    <row r="134">
      <c r="B134" s="28"/>
      <c r="C134" s="28"/>
      <c r="E134" s="55"/>
      <c r="F134" s="55"/>
      <c r="K134" s="55"/>
      <c r="L134" s="55"/>
    </row>
    <row r="135">
      <c r="B135" s="28"/>
      <c r="C135" s="28"/>
      <c r="E135" s="55"/>
      <c r="F135" s="55"/>
      <c r="K135" s="55"/>
      <c r="L135" s="55"/>
    </row>
    <row r="136">
      <c r="B136" s="28"/>
      <c r="C136" s="28"/>
      <c r="E136" s="55"/>
      <c r="F136" s="55"/>
      <c r="K136" s="55"/>
      <c r="L136" s="55"/>
    </row>
    <row r="137">
      <c r="B137" s="28"/>
      <c r="C137" s="28"/>
      <c r="E137" s="55"/>
      <c r="F137" s="55"/>
      <c r="K137" s="55"/>
      <c r="L137" s="55"/>
    </row>
    <row r="138">
      <c r="B138" s="28"/>
      <c r="C138" s="28"/>
      <c r="E138" s="55"/>
      <c r="F138" s="55"/>
      <c r="K138" s="55"/>
      <c r="L138" s="55"/>
    </row>
    <row r="139">
      <c r="B139" s="28"/>
      <c r="C139" s="28"/>
      <c r="E139" s="55"/>
      <c r="F139" s="55"/>
      <c r="K139" s="55"/>
      <c r="L139" s="55"/>
    </row>
    <row r="140">
      <c r="B140" s="28"/>
      <c r="C140" s="28"/>
      <c r="E140" s="55"/>
      <c r="F140" s="55"/>
      <c r="K140" s="55"/>
      <c r="L140" s="55"/>
    </row>
    <row r="141">
      <c r="B141" s="28"/>
      <c r="C141" s="28"/>
      <c r="E141" s="55"/>
      <c r="F141" s="55"/>
      <c r="K141" s="55"/>
      <c r="L141" s="55"/>
    </row>
    <row r="142">
      <c r="B142" s="28"/>
      <c r="C142" s="28"/>
      <c r="E142" s="55"/>
      <c r="F142" s="55"/>
      <c r="K142" s="55"/>
      <c r="L142" s="55"/>
    </row>
    <row r="143">
      <c r="B143" s="28"/>
      <c r="C143" s="28"/>
      <c r="E143" s="55"/>
      <c r="F143" s="55"/>
      <c r="K143" s="55"/>
      <c r="L143" s="55"/>
    </row>
    <row r="144">
      <c r="B144" s="28"/>
      <c r="C144" s="28"/>
      <c r="E144" s="55"/>
      <c r="F144" s="55"/>
      <c r="K144" s="55"/>
      <c r="L144" s="55"/>
    </row>
    <row r="145">
      <c r="B145" s="28"/>
      <c r="C145" s="28"/>
      <c r="E145" s="55"/>
      <c r="F145" s="55"/>
      <c r="K145" s="55"/>
      <c r="L145" s="55"/>
    </row>
    <row r="146">
      <c r="B146" s="28"/>
      <c r="C146" s="28"/>
      <c r="E146" s="55"/>
      <c r="F146" s="55"/>
      <c r="K146" s="55"/>
      <c r="L146" s="55"/>
    </row>
    <row r="147">
      <c r="B147" s="28"/>
      <c r="C147" s="28"/>
      <c r="E147" s="55"/>
      <c r="F147" s="55"/>
      <c r="K147" s="55"/>
      <c r="L147" s="55"/>
    </row>
    <row r="148">
      <c r="B148" s="28"/>
      <c r="C148" s="28"/>
      <c r="E148" s="55"/>
      <c r="F148" s="55"/>
      <c r="K148" s="55"/>
      <c r="L148" s="55"/>
    </row>
    <row r="149">
      <c r="B149" s="28"/>
      <c r="C149" s="28"/>
      <c r="E149" s="55"/>
      <c r="F149" s="55"/>
      <c r="K149" s="55"/>
      <c r="L149" s="55"/>
    </row>
    <row r="150">
      <c r="B150" s="28"/>
      <c r="C150" s="28"/>
      <c r="E150" s="55"/>
      <c r="F150" s="55"/>
      <c r="K150" s="55"/>
      <c r="L150" s="55"/>
    </row>
    <row r="151">
      <c r="B151" s="28"/>
      <c r="C151" s="28"/>
      <c r="E151" s="55"/>
      <c r="F151" s="55"/>
      <c r="K151" s="55"/>
      <c r="L151" s="55"/>
    </row>
    <row r="152">
      <c r="B152" s="28"/>
      <c r="C152" s="28"/>
      <c r="E152" s="55"/>
      <c r="F152" s="55"/>
      <c r="K152" s="55"/>
      <c r="L152" s="55"/>
    </row>
    <row r="153">
      <c r="B153" s="28"/>
      <c r="C153" s="28"/>
      <c r="E153" s="55"/>
      <c r="F153" s="55"/>
      <c r="K153" s="55"/>
      <c r="L153" s="55"/>
    </row>
    <row r="154">
      <c r="B154" s="28"/>
      <c r="C154" s="28"/>
      <c r="E154" s="55"/>
      <c r="F154" s="55"/>
      <c r="K154" s="55"/>
      <c r="L154" s="55"/>
    </row>
    <row r="155">
      <c r="B155" s="28"/>
      <c r="C155" s="28"/>
      <c r="E155" s="55"/>
      <c r="F155" s="55"/>
      <c r="K155" s="55"/>
      <c r="L155" s="55"/>
    </row>
    <row r="156">
      <c r="B156" s="28"/>
      <c r="C156" s="28"/>
      <c r="E156" s="55"/>
      <c r="F156" s="55"/>
      <c r="K156" s="55"/>
      <c r="L156" s="55"/>
    </row>
    <row r="157">
      <c r="B157" s="28"/>
      <c r="C157" s="28"/>
      <c r="E157" s="55"/>
      <c r="F157" s="55"/>
      <c r="K157" s="55"/>
      <c r="L157" s="55"/>
    </row>
    <row r="158">
      <c r="B158" s="28"/>
      <c r="C158" s="28"/>
      <c r="E158" s="55"/>
      <c r="F158" s="55"/>
      <c r="K158" s="55"/>
      <c r="L158" s="55"/>
    </row>
    <row r="159">
      <c r="B159" s="28"/>
      <c r="C159" s="28"/>
      <c r="E159" s="55"/>
      <c r="F159" s="55"/>
      <c r="K159" s="55"/>
      <c r="L159" s="55"/>
    </row>
    <row r="160">
      <c r="B160" s="28"/>
      <c r="C160" s="28"/>
      <c r="E160" s="55"/>
      <c r="F160" s="55"/>
      <c r="K160" s="55"/>
      <c r="L160" s="55"/>
    </row>
    <row r="161">
      <c r="B161" s="28"/>
      <c r="C161" s="28"/>
      <c r="E161" s="55"/>
      <c r="F161" s="55"/>
      <c r="K161" s="55"/>
      <c r="L161" s="55"/>
    </row>
    <row r="162">
      <c r="B162" s="28"/>
      <c r="C162" s="28"/>
      <c r="E162" s="55"/>
      <c r="F162" s="55"/>
      <c r="K162" s="55"/>
      <c r="L162" s="55"/>
    </row>
    <row r="163">
      <c r="B163" s="28"/>
      <c r="C163" s="28"/>
      <c r="E163" s="55"/>
      <c r="F163" s="55"/>
      <c r="K163" s="55"/>
      <c r="L163" s="55"/>
    </row>
    <row r="164">
      <c r="B164" s="28"/>
      <c r="C164" s="28"/>
      <c r="E164" s="55"/>
      <c r="F164" s="55"/>
      <c r="K164" s="55"/>
      <c r="L164" s="55"/>
    </row>
    <row r="165">
      <c r="B165" s="28"/>
      <c r="C165" s="28"/>
      <c r="E165" s="55"/>
      <c r="F165" s="55"/>
      <c r="K165" s="55"/>
      <c r="L165" s="55"/>
    </row>
    <row r="166">
      <c r="B166" s="28"/>
      <c r="C166" s="28"/>
      <c r="E166" s="55"/>
      <c r="F166" s="55"/>
      <c r="K166" s="55"/>
      <c r="L166" s="55"/>
    </row>
    <row r="167">
      <c r="B167" s="28"/>
      <c r="C167" s="28"/>
      <c r="E167" s="55"/>
      <c r="F167" s="55"/>
      <c r="K167" s="55"/>
      <c r="L167" s="55"/>
    </row>
    <row r="168">
      <c r="B168" s="28"/>
      <c r="C168" s="28"/>
      <c r="E168" s="55"/>
      <c r="F168" s="55"/>
      <c r="K168" s="55"/>
      <c r="L168" s="55"/>
    </row>
    <row r="169">
      <c r="B169" s="28"/>
      <c r="C169" s="28"/>
      <c r="E169" s="55"/>
      <c r="F169" s="55"/>
      <c r="K169" s="55"/>
      <c r="L169" s="55"/>
    </row>
    <row r="170">
      <c r="B170" s="28"/>
      <c r="C170" s="28"/>
      <c r="E170" s="55"/>
      <c r="F170" s="55"/>
      <c r="K170" s="55"/>
      <c r="L170" s="55"/>
    </row>
    <row r="171">
      <c r="B171" s="28"/>
      <c r="C171" s="28"/>
      <c r="E171" s="55"/>
      <c r="F171" s="55"/>
      <c r="K171" s="55"/>
      <c r="L171" s="55"/>
    </row>
    <row r="172">
      <c r="B172" s="28"/>
      <c r="C172" s="28"/>
      <c r="E172" s="55"/>
      <c r="F172" s="55"/>
      <c r="K172" s="55"/>
      <c r="L172" s="55"/>
    </row>
    <row r="173">
      <c r="B173" s="28"/>
      <c r="C173" s="28"/>
      <c r="E173" s="55"/>
      <c r="F173" s="55"/>
      <c r="K173" s="55"/>
      <c r="L173" s="55"/>
    </row>
    <row r="174">
      <c r="B174" s="28"/>
      <c r="C174" s="28"/>
      <c r="E174" s="55"/>
      <c r="F174" s="55"/>
      <c r="K174" s="55"/>
      <c r="L174" s="55"/>
    </row>
    <row r="175">
      <c r="B175" s="28"/>
      <c r="C175" s="28"/>
      <c r="E175" s="55"/>
      <c r="F175" s="55"/>
      <c r="K175" s="55"/>
      <c r="L175" s="55"/>
    </row>
    <row r="176">
      <c r="B176" s="28"/>
      <c r="C176" s="28"/>
      <c r="E176" s="55"/>
      <c r="F176" s="55"/>
      <c r="K176" s="55"/>
      <c r="L176" s="55"/>
    </row>
    <row r="177">
      <c r="B177" s="28"/>
      <c r="C177" s="28"/>
      <c r="E177" s="55"/>
      <c r="F177" s="55"/>
      <c r="K177" s="55"/>
      <c r="L177" s="55"/>
    </row>
    <row r="178">
      <c r="B178" s="28"/>
      <c r="C178" s="28"/>
      <c r="E178" s="55"/>
      <c r="F178" s="55"/>
      <c r="K178" s="55"/>
      <c r="L178" s="55"/>
    </row>
    <row r="179">
      <c r="B179" s="28"/>
      <c r="C179" s="28"/>
      <c r="E179" s="55"/>
      <c r="F179" s="55"/>
      <c r="K179" s="55"/>
      <c r="L179" s="55"/>
    </row>
    <row r="180">
      <c r="B180" s="28"/>
      <c r="C180" s="28"/>
      <c r="E180" s="55"/>
      <c r="F180" s="55"/>
      <c r="K180" s="55"/>
      <c r="L180" s="55"/>
    </row>
    <row r="181">
      <c r="B181" s="28"/>
      <c r="C181" s="28"/>
      <c r="E181" s="55"/>
      <c r="F181" s="55"/>
      <c r="K181" s="55"/>
      <c r="L181" s="55"/>
    </row>
    <row r="182">
      <c r="B182" s="28"/>
      <c r="C182" s="28"/>
      <c r="E182" s="55"/>
      <c r="F182" s="55"/>
      <c r="K182" s="55"/>
      <c r="L182" s="55"/>
    </row>
    <row r="183">
      <c r="B183" s="28"/>
      <c r="C183" s="28"/>
      <c r="E183" s="55"/>
      <c r="F183" s="55"/>
      <c r="K183" s="55"/>
      <c r="L183" s="55"/>
    </row>
    <row r="184">
      <c r="B184" s="28"/>
      <c r="C184" s="28"/>
      <c r="E184" s="55"/>
      <c r="F184" s="55"/>
      <c r="K184" s="55"/>
      <c r="L184" s="55"/>
    </row>
    <row r="185">
      <c r="B185" s="28"/>
      <c r="C185" s="28"/>
      <c r="E185" s="55"/>
      <c r="F185" s="55"/>
      <c r="K185" s="55"/>
      <c r="L185" s="55"/>
    </row>
    <row r="186">
      <c r="B186" s="28"/>
      <c r="C186" s="28"/>
      <c r="E186" s="55"/>
      <c r="F186" s="55"/>
      <c r="K186" s="55"/>
      <c r="L186" s="55"/>
    </row>
    <row r="187">
      <c r="B187" s="28"/>
      <c r="C187" s="28"/>
      <c r="E187" s="55"/>
      <c r="F187" s="55"/>
      <c r="K187" s="55"/>
      <c r="L187" s="55"/>
    </row>
    <row r="188">
      <c r="B188" s="28"/>
      <c r="C188" s="28"/>
      <c r="E188" s="55"/>
      <c r="F188" s="55"/>
      <c r="K188" s="55"/>
      <c r="L188" s="55"/>
    </row>
    <row r="189">
      <c r="B189" s="28"/>
      <c r="C189" s="28"/>
      <c r="E189" s="55"/>
      <c r="F189" s="55"/>
      <c r="K189" s="55"/>
      <c r="L189" s="55"/>
    </row>
    <row r="190">
      <c r="B190" s="28"/>
      <c r="C190" s="28"/>
      <c r="E190" s="55"/>
      <c r="F190" s="55"/>
      <c r="K190" s="55"/>
      <c r="L190" s="55"/>
    </row>
    <row r="191">
      <c r="B191" s="28"/>
      <c r="C191" s="28"/>
      <c r="E191" s="55"/>
      <c r="F191" s="55"/>
      <c r="K191" s="55"/>
      <c r="L191" s="55"/>
    </row>
    <row r="192">
      <c r="B192" s="28"/>
      <c r="C192" s="28"/>
      <c r="E192" s="55"/>
      <c r="F192" s="55"/>
      <c r="K192" s="55"/>
      <c r="L192" s="55"/>
    </row>
    <row r="193">
      <c r="B193" s="28"/>
      <c r="C193" s="28"/>
      <c r="E193" s="55"/>
      <c r="F193" s="55"/>
      <c r="K193" s="55"/>
      <c r="L193" s="55"/>
    </row>
    <row r="194">
      <c r="B194" s="28"/>
      <c r="C194" s="28"/>
      <c r="E194" s="55"/>
      <c r="F194" s="55"/>
      <c r="K194" s="55"/>
      <c r="L194" s="55"/>
    </row>
    <row r="195">
      <c r="B195" s="28"/>
      <c r="C195" s="28"/>
      <c r="E195" s="55"/>
      <c r="F195" s="55"/>
      <c r="K195" s="55"/>
      <c r="L195" s="55"/>
    </row>
    <row r="196">
      <c r="B196" s="28"/>
      <c r="C196" s="28"/>
      <c r="E196" s="55"/>
      <c r="F196" s="55"/>
      <c r="K196" s="55"/>
      <c r="L196" s="55"/>
    </row>
    <row r="197">
      <c r="B197" s="28"/>
      <c r="C197" s="28"/>
      <c r="E197" s="55"/>
      <c r="F197" s="55"/>
      <c r="K197" s="55"/>
      <c r="L197" s="55"/>
    </row>
    <row r="198">
      <c r="B198" s="28"/>
      <c r="C198" s="28"/>
      <c r="E198" s="55"/>
      <c r="F198" s="55"/>
      <c r="K198" s="55"/>
      <c r="L198" s="55"/>
    </row>
    <row r="199">
      <c r="B199" s="28"/>
      <c r="C199" s="28"/>
      <c r="E199" s="55"/>
      <c r="F199" s="55"/>
      <c r="K199" s="55"/>
      <c r="L199" s="55"/>
    </row>
    <row r="200">
      <c r="B200" s="28"/>
      <c r="C200" s="28"/>
      <c r="E200" s="55"/>
      <c r="F200" s="55"/>
      <c r="K200" s="55"/>
      <c r="L200" s="55"/>
    </row>
    <row r="201">
      <c r="B201" s="28"/>
      <c r="C201" s="28"/>
      <c r="E201" s="55"/>
      <c r="F201" s="55"/>
      <c r="K201" s="55"/>
      <c r="L201" s="55"/>
    </row>
    <row r="202">
      <c r="B202" s="28"/>
      <c r="C202" s="28"/>
      <c r="E202" s="55"/>
      <c r="F202" s="55"/>
      <c r="K202" s="55"/>
      <c r="L202" s="55"/>
    </row>
    <row r="203">
      <c r="B203" s="28"/>
      <c r="C203" s="28"/>
      <c r="E203" s="55"/>
      <c r="F203" s="55"/>
      <c r="K203" s="55"/>
      <c r="L203" s="55"/>
    </row>
    <row r="204">
      <c r="B204" s="28"/>
      <c r="C204" s="28"/>
      <c r="E204" s="55"/>
      <c r="F204" s="55"/>
      <c r="K204" s="55"/>
      <c r="L204" s="55"/>
    </row>
    <row r="205">
      <c r="B205" s="28"/>
      <c r="C205" s="28"/>
      <c r="E205" s="55"/>
      <c r="F205" s="55"/>
      <c r="K205" s="55"/>
      <c r="L205" s="55"/>
    </row>
    <row r="206">
      <c r="B206" s="28"/>
      <c r="C206" s="28"/>
      <c r="E206" s="55"/>
      <c r="F206" s="55"/>
      <c r="K206" s="55"/>
      <c r="L206" s="55"/>
    </row>
    <row r="207">
      <c r="B207" s="28"/>
      <c r="C207" s="28"/>
      <c r="E207" s="55"/>
      <c r="F207" s="55"/>
      <c r="K207" s="55"/>
      <c r="L207" s="55"/>
    </row>
    <row r="208">
      <c r="B208" s="28"/>
      <c r="C208" s="28"/>
      <c r="E208" s="55"/>
      <c r="F208" s="55"/>
      <c r="K208" s="55"/>
      <c r="L208" s="55"/>
    </row>
    <row r="209">
      <c r="B209" s="28"/>
      <c r="C209" s="28"/>
      <c r="E209" s="55"/>
      <c r="F209" s="55"/>
      <c r="K209" s="55"/>
      <c r="L209" s="55"/>
    </row>
    <row r="210">
      <c r="B210" s="28"/>
      <c r="C210" s="28"/>
      <c r="E210" s="55"/>
      <c r="F210" s="55"/>
      <c r="K210" s="55"/>
      <c r="L210" s="55"/>
    </row>
    <row r="211">
      <c r="B211" s="28"/>
      <c r="C211" s="28"/>
      <c r="E211" s="55"/>
      <c r="F211" s="55"/>
      <c r="K211" s="55"/>
      <c r="L211" s="55"/>
    </row>
    <row r="212">
      <c r="B212" s="28"/>
      <c r="C212" s="28"/>
      <c r="E212" s="55"/>
      <c r="F212" s="55"/>
      <c r="K212" s="55"/>
      <c r="L212" s="55"/>
    </row>
    <row r="213">
      <c r="B213" s="28"/>
      <c r="C213" s="28"/>
      <c r="E213" s="55"/>
      <c r="F213" s="55"/>
      <c r="K213" s="55"/>
      <c r="L213" s="55"/>
    </row>
    <row r="214">
      <c r="B214" s="28"/>
      <c r="C214" s="28"/>
      <c r="E214" s="55"/>
      <c r="F214" s="55"/>
      <c r="K214" s="55"/>
      <c r="L214" s="55"/>
    </row>
    <row r="215">
      <c r="B215" s="28"/>
      <c r="C215" s="28"/>
      <c r="E215" s="55"/>
      <c r="F215" s="55"/>
      <c r="K215" s="55"/>
      <c r="L215" s="55"/>
    </row>
    <row r="216">
      <c r="B216" s="28"/>
      <c r="C216" s="28"/>
      <c r="E216" s="55"/>
      <c r="F216" s="55"/>
      <c r="K216" s="55"/>
      <c r="L216" s="55"/>
    </row>
    <row r="217">
      <c r="B217" s="28"/>
      <c r="C217" s="28"/>
      <c r="E217" s="55"/>
      <c r="F217" s="55"/>
      <c r="K217" s="55"/>
      <c r="L217" s="55"/>
    </row>
    <row r="218">
      <c r="B218" s="28"/>
      <c r="C218" s="28"/>
      <c r="E218" s="55"/>
      <c r="F218" s="55"/>
      <c r="K218" s="55"/>
      <c r="L218" s="55"/>
    </row>
    <row r="219">
      <c r="B219" s="28"/>
      <c r="C219" s="28"/>
      <c r="E219" s="55"/>
      <c r="F219" s="55"/>
      <c r="K219" s="55"/>
      <c r="L219" s="55"/>
    </row>
    <row r="220">
      <c r="B220" s="28"/>
      <c r="C220" s="28"/>
      <c r="E220" s="55"/>
      <c r="F220" s="55"/>
      <c r="K220" s="55"/>
      <c r="L220" s="55"/>
    </row>
    <row r="221">
      <c r="B221" s="28"/>
      <c r="C221" s="28"/>
      <c r="E221" s="55"/>
      <c r="F221" s="55"/>
      <c r="K221" s="55"/>
      <c r="L221" s="55"/>
    </row>
    <row r="222">
      <c r="B222" s="28"/>
      <c r="C222" s="28"/>
      <c r="E222" s="55"/>
      <c r="F222" s="55"/>
      <c r="K222" s="55"/>
      <c r="L222" s="55"/>
    </row>
    <row r="223">
      <c r="B223" s="28"/>
      <c r="C223" s="28"/>
      <c r="E223" s="55"/>
      <c r="F223" s="55"/>
      <c r="K223" s="55"/>
      <c r="L223" s="55"/>
    </row>
    <row r="224">
      <c r="B224" s="28"/>
      <c r="C224" s="28"/>
      <c r="E224" s="55"/>
      <c r="F224" s="55"/>
      <c r="K224" s="55"/>
      <c r="L224" s="55"/>
    </row>
    <row r="225">
      <c r="B225" s="28"/>
      <c r="C225" s="28"/>
      <c r="E225" s="55"/>
      <c r="F225" s="55"/>
      <c r="K225" s="55"/>
      <c r="L225" s="55"/>
    </row>
    <row r="226">
      <c r="B226" s="28"/>
      <c r="C226" s="28"/>
      <c r="E226" s="55"/>
      <c r="F226" s="55"/>
      <c r="K226" s="55"/>
      <c r="L226" s="55"/>
    </row>
    <row r="227">
      <c r="B227" s="28"/>
      <c r="C227" s="28"/>
      <c r="E227" s="55"/>
      <c r="F227" s="55"/>
      <c r="K227" s="55"/>
      <c r="L227" s="55"/>
    </row>
    <row r="228">
      <c r="B228" s="28"/>
      <c r="C228" s="28"/>
      <c r="E228" s="55"/>
      <c r="F228" s="55"/>
      <c r="K228" s="55"/>
      <c r="L228" s="55"/>
    </row>
    <row r="229">
      <c r="B229" s="28"/>
      <c r="C229" s="28"/>
      <c r="E229" s="55"/>
      <c r="F229" s="55"/>
      <c r="K229" s="55"/>
      <c r="L229" s="55"/>
    </row>
    <row r="230">
      <c r="B230" s="28"/>
      <c r="C230" s="28"/>
      <c r="E230" s="55"/>
      <c r="F230" s="55"/>
      <c r="K230" s="55"/>
      <c r="L230" s="55"/>
    </row>
    <row r="231">
      <c r="B231" s="28"/>
      <c r="C231" s="28"/>
      <c r="E231" s="55"/>
      <c r="F231" s="55"/>
      <c r="K231" s="55"/>
      <c r="L231" s="55"/>
    </row>
    <row r="232">
      <c r="B232" s="28"/>
      <c r="C232" s="28"/>
      <c r="E232" s="55"/>
      <c r="F232" s="55"/>
      <c r="K232" s="55"/>
      <c r="L232" s="55"/>
    </row>
    <row r="233">
      <c r="B233" s="28"/>
      <c r="C233" s="28"/>
      <c r="E233" s="55"/>
      <c r="F233" s="55"/>
      <c r="K233" s="55"/>
      <c r="L233" s="55"/>
    </row>
    <row r="234">
      <c r="B234" s="28"/>
      <c r="C234" s="28"/>
      <c r="E234" s="55"/>
      <c r="F234" s="55"/>
      <c r="K234" s="55"/>
      <c r="L234" s="55"/>
    </row>
    <row r="235">
      <c r="B235" s="28"/>
      <c r="C235" s="28"/>
      <c r="E235" s="55"/>
      <c r="F235" s="55"/>
      <c r="K235" s="55"/>
      <c r="L235" s="55"/>
    </row>
    <row r="236">
      <c r="B236" s="28"/>
      <c r="C236" s="28"/>
      <c r="E236" s="55"/>
      <c r="F236" s="55"/>
      <c r="K236" s="55"/>
      <c r="L236" s="55"/>
    </row>
    <row r="237">
      <c r="B237" s="28"/>
      <c r="C237" s="28"/>
      <c r="E237" s="55"/>
      <c r="F237" s="55"/>
      <c r="K237" s="55"/>
      <c r="L237" s="55"/>
    </row>
    <row r="238">
      <c r="B238" s="28"/>
      <c r="C238" s="28"/>
      <c r="E238" s="55"/>
      <c r="F238" s="55"/>
      <c r="K238" s="55"/>
      <c r="L238" s="55"/>
    </row>
    <row r="239">
      <c r="B239" s="28"/>
      <c r="C239" s="28"/>
      <c r="E239" s="55"/>
      <c r="F239" s="55"/>
      <c r="K239" s="55"/>
      <c r="L239" s="55"/>
    </row>
    <row r="240">
      <c r="B240" s="28"/>
      <c r="C240" s="28"/>
      <c r="E240" s="55"/>
      <c r="F240" s="55"/>
      <c r="K240" s="55"/>
      <c r="L240" s="55"/>
    </row>
    <row r="241">
      <c r="B241" s="28"/>
      <c r="C241" s="28"/>
      <c r="E241" s="55"/>
      <c r="F241" s="55"/>
      <c r="K241" s="55"/>
      <c r="L241" s="55"/>
    </row>
    <row r="242">
      <c r="B242" s="28"/>
      <c r="C242" s="28"/>
      <c r="E242" s="55"/>
      <c r="F242" s="55"/>
      <c r="K242" s="55"/>
      <c r="L242" s="55"/>
    </row>
    <row r="243">
      <c r="B243" s="28"/>
      <c r="C243" s="28"/>
      <c r="E243" s="55"/>
      <c r="F243" s="55"/>
      <c r="K243" s="55"/>
      <c r="L243" s="55"/>
    </row>
    <row r="244">
      <c r="B244" s="28"/>
      <c r="C244" s="28"/>
      <c r="E244" s="55"/>
      <c r="F244" s="55"/>
      <c r="K244" s="55"/>
      <c r="L244" s="55"/>
    </row>
    <row r="245">
      <c r="B245" s="28"/>
      <c r="C245" s="28"/>
      <c r="E245" s="55"/>
      <c r="F245" s="55"/>
      <c r="K245" s="55"/>
      <c r="L245" s="55"/>
    </row>
    <row r="246">
      <c r="B246" s="28"/>
      <c r="C246" s="28"/>
      <c r="E246" s="55"/>
      <c r="F246" s="55"/>
      <c r="K246" s="55"/>
      <c r="L246" s="55"/>
    </row>
    <row r="247">
      <c r="B247" s="28"/>
      <c r="C247" s="28"/>
      <c r="E247" s="55"/>
      <c r="F247" s="55"/>
      <c r="K247" s="55"/>
      <c r="L247" s="55"/>
    </row>
    <row r="248">
      <c r="B248" s="28"/>
      <c r="C248" s="28"/>
      <c r="E248" s="55"/>
      <c r="F248" s="55"/>
      <c r="K248" s="55"/>
      <c r="L248" s="55"/>
    </row>
    <row r="249">
      <c r="B249" s="28"/>
      <c r="C249" s="28"/>
      <c r="E249" s="55"/>
      <c r="F249" s="55"/>
      <c r="K249" s="55"/>
      <c r="L249" s="55"/>
    </row>
    <row r="250">
      <c r="B250" s="28"/>
      <c r="C250" s="28"/>
      <c r="E250" s="55"/>
      <c r="F250" s="55"/>
      <c r="K250" s="55"/>
      <c r="L250" s="55"/>
    </row>
    <row r="251">
      <c r="B251" s="28"/>
      <c r="C251" s="28"/>
      <c r="E251" s="55"/>
      <c r="F251" s="55"/>
      <c r="K251" s="55"/>
      <c r="L251" s="55"/>
    </row>
    <row r="252">
      <c r="B252" s="28"/>
      <c r="C252" s="28"/>
      <c r="E252" s="55"/>
      <c r="F252" s="55"/>
      <c r="K252" s="55"/>
      <c r="L252" s="55"/>
    </row>
    <row r="253">
      <c r="B253" s="28"/>
      <c r="C253" s="28"/>
      <c r="E253" s="55"/>
      <c r="F253" s="55"/>
      <c r="K253" s="55"/>
      <c r="L253" s="55"/>
    </row>
    <row r="254">
      <c r="B254" s="28"/>
      <c r="C254" s="28"/>
      <c r="E254" s="55"/>
      <c r="F254" s="55"/>
      <c r="K254" s="55"/>
      <c r="L254" s="55"/>
    </row>
    <row r="255">
      <c r="B255" s="28"/>
      <c r="C255" s="28"/>
      <c r="E255" s="55"/>
      <c r="F255" s="55"/>
      <c r="K255" s="55"/>
      <c r="L255" s="55"/>
    </row>
    <row r="256">
      <c r="B256" s="28"/>
      <c r="C256" s="28"/>
      <c r="E256" s="55"/>
      <c r="F256" s="55"/>
      <c r="K256" s="55"/>
      <c r="L256" s="55"/>
    </row>
    <row r="257">
      <c r="B257" s="28"/>
      <c r="C257" s="28"/>
      <c r="E257" s="55"/>
      <c r="F257" s="55"/>
      <c r="K257" s="55"/>
      <c r="L257" s="55"/>
    </row>
    <row r="258">
      <c r="B258" s="28"/>
      <c r="C258" s="28"/>
      <c r="E258" s="55"/>
      <c r="F258" s="55"/>
      <c r="K258" s="55"/>
      <c r="L258" s="55"/>
    </row>
    <row r="259">
      <c r="B259" s="28"/>
      <c r="C259" s="28"/>
      <c r="E259" s="55"/>
      <c r="F259" s="55"/>
      <c r="K259" s="55"/>
      <c r="L259" s="55"/>
    </row>
    <row r="260">
      <c r="B260" s="28"/>
      <c r="C260" s="28"/>
      <c r="E260" s="55"/>
      <c r="F260" s="55"/>
      <c r="K260" s="55"/>
      <c r="L260" s="55"/>
    </row>
    <row r="261">
      <c r="B261" s="28"/>
      <c r="C261" s="28"/>
      <c r="E261" s="55"/>
      <c r="F261" s="55"/>
      <c r="K261" s="55"/>
      <c r="L261" s="55"/>
    </row>
    <row r="262">
      <c r="B262" s="28"/>
      <c r="C262" s="28"/>
      <c r="E262" s="55"/>
      <c r="F262" s="55"/>
      <c r="K262" s="55"/>
      <c r="L262" s="55"/>
    </row>
    <row r="263">
      <c r="B263" s="28"/>
      <c r="C263" s="28"/>
      <c r="E263" s="55"/>
      <c r="F263" s="55"/>
      <c r="K263" s="55"/>
      <c r="L263" s="55"/>
    </row>
    <row r="264">
      <c r="B264" s="28"/>
      <c r="C264" s="28"/>
      <c r="E264" s="55"/>
      <c r="F264" s="55"/>
      <c r="K264" s="55"/>
      <c r="L264" s="55"/>
    </row>
    <row r="265">
      <c r="B265" s="28"/>
      <c r="C265" s="28"/>
      <c r="E265" s="55"/>
      <c r="F265" s="55"/>
      <c r="K265" s="55"/>
      <c r="L265" s="55"/>
    </row>
    <row r="266">
      <c r="B266" s="28"/>
      <c r="C266" s="28"/>
      <c r="E266" s="55"/>
      <c r="F266" s="55"/>
      <c r="K266" s="55"/>
      <c r="L266" s="55"/>
    </row>
    <row r="267">
      <c r="B267" s="28"/>
      <c r="C267" s="28"/>
      <c r="E267" s="55"/>
      <c r="F267" s="55"/>
      <c r="K267" s="55"/>
      <c r="L267" s="55"/>
    </row>
    <row r="268">
      <c r="B268" s="28"/>
      <c r="C268" s="28"/>
      <c r="E268" s="55"/>
      <c r="F268" s="55"/>
      <c r="K268" s="55"/>
      <c r="L268" s="55"/>
    </row>
    <row r="269">
      <c r="B269" s="28"/>
      <c r="C269" s="28"/>
      <c r="E269" s="55"/>
      <c r="F269" s="55"/>
      <c r="K269" s="55"/>
      <c r="L269" s="55"/>
    </row>
    <row r="270">
      <c r="B270" s="28"/>
      <c r="C270" s="28"/>
      <c r="E270" s="55"/>
      <c r="F270" s="55"/>
      <c r="K270" s="55"/>
      <c r="L270" s="55"/>
    </row>
    <row r="271">
      <c r="B271" s="28"/>
      <c r="C271" s="28"/>
      <c r="E271" s="55"/>
      <c r="F271" s="55"/>
      <c r="K271" s="55"/>
      <c r="L271" s="55"/>
    </row>
    <row r="272">
      <c r="B272" s="28"/>
      <c r="C272" s="28"/>
      <c r="E272" s="55"/>
      <c r="F272" s="55"/>
      <c r="K272" s="55"/>
      <c r="L272" s="55"/>
    </row>
    <row r="273">
      <c r="B273" s="28"/>
      <c r="C273" s="28"/>
      <c r="E273" s="55"/>
      <c r="F273" s="55"/>
      <c r="K273" s="55"/>
      <c r="L273" s="55"/>
    </row>
    <row r="274">
      <c r="B274" s="28"/>
      <c r="C274" s="28"/>
      <c r="E274" s="55"/>
      <c r="F274" s="55"/>
      <c r="K274" s="55"/>
      <c r="L274" s="55"/>
    </row>
    <row r="275">
      <c r="B275" s="28"/>
      <c r="C275" s="28"/>
      <c r="E275" s="55"/>
      <c r="F275" s="55"/>
      <c r="K275" s="55"/>
      <c r="L275" s="55"/>
    </row>
    <row r="276">
      <c r="B276" s="28"/>
      <c r="C276" s="28"/>
      <c r="E276" s="55"/>
      <c r="F276" s="55"/>
      <c r="K276" s="55"/>
      <c r="L276" s="55"/>
    </row>
    <row r="277">
      <c r="B277" s="28"/>
      <c r="C277" s="28"/>
      <c r="E277" s="55"/>
      <c r="F277" s="55"/>
      <c r="K277" s="55"/>
      <c r="L277" s="55"/>
    </row>
    <row r="278">
      <c r="B278" s="28"/>
      <c r="C278" s="28"/>
      <c r="E278" s="55"/>
      <c r="F278" s="55"/>
      <c r="K278" s="55"/>
      <c r="L278" s="55"/>
    </row>
    <row r="279">
      <c r="B279" s="28"/>
      <c r="C279" s="28"/>
      <c r="E279" s="55"/>
      <c r="F279" s="55"/>
      <c r="K279" s="55"/>
      <c r="L279" s="55"/>
    </row>
    <row r="280">
      <c r="B280" s="28"/>
      <c r="C280" s="28"/>
      <c r="E280" s="55"/>
      <c r="F280" s="55"/>
      <c r="K280" s="55"/>
      <c r="L280" s="55"/>
    </row>
    <row r="281">
      <c r="B281" s="28"/>
      <c r="C281" s="28"/>
      <c r="E281" s="55"/>
      <c r="F281" s="55"/>
      <c r="K281" s="55"/>
      <c r="L281" s="55"/>
    </row>
    <row r="282">
      <c r="B282" s="28"/>
      <c r="C282" s="28"/>
      <c r="E282" s="55"/>
      <c r="F282" s="55"/>
      <c r="K282" s="55"/>
      <c r="L282" s="55"/>
    </row>
    <row r="283">
      <c r="B283" s="28"/>
      <c r="C283" s="28"/>
      <c r="E283" s="55"/>
      <c r="F283" s="55"/>
      <c r="K283" s="55"/>
      <c r="L283" s="55"/>
    </row>
    <row r="284">
      <c r="B284" s="28"/>
      <c r="C284" s="28"/>
      <c r="E284" s="55"/>
      <c r="F284" s="55"/>
      <c r="K284" s="55"/>
      <c r="L284" s="55"/>
    </row>
    <row r="285">
      <c r="B285" s="28"/>
      <c r="C285" s="28"/>
      <c r="E285" s="55"/>
      <c r="F285" s="55"/>
      <c r="K285" s="55"/>
      <c r="L285" s="55"/>
    </row>
    <row r="286">
      <c r="B286" s="28"/>
      <c r="C286" s="28"/>
      <c r="E286" s="55"/>
      <c r="F286" s="55"/>
      <c r="K286" s="55"/>
      <c r="L286" s="55"/>
    </row>
    <row r="287">
      <c r="B287" s="28"/>
      <c r="C287" s="28"/>
      <c r="E287" s="55"/>
      <c r="F287" s="55"/>
      <c r="K287" s="55"/>
      <c r="L287" s="55"/>
    </row>
    <row r="288">
      <c r="B288" s="28"/>
      <c r="C288" s="28"/>
      <c r="E288" s="55"/>
      <c r="F288" s="55"/>
      <c r="K288" s="55"/>
      <c r="L288" s="55"/>
    </row>
    <row r="289">
      <c r="B289" s="28"/>
      <c r="C289" s="28"/>
      <c r="E289" s="55"/>
      <c r="F289" s="55"/>
      <c r="K289" s="55"/>
      <c r="L289" s="55"/>
    </row>
    <row r="290">
      <c r="B290" s="28"/>
      <c r="C290" s="28"/>
      <c r="E290" s="55"/>
      <c r="F290" s="55"/>
      <c r="K290" s="55"/>
      <c r="L290" s="55"/>
    </row>
    <row r="291">
      <c r="B291" s="28"/>
      <c r="C291" s="28"/>
      <c r="E291" s="55"/>
      <c r="F291" s="55"/>
      <c r="K291" s="55"/>
      <c r="L291" s="55"/>
    </row>
    <row r="292">
      <c r="B292" s="28"/>
      <c r="C292" s="28"/>
      <c r="E292" s="55"/>
      <c r="F292" s="55"/>
      <c r="K292" s="55"/>
      <c r="L292" s="55"/>
    </row>
    <row r="293">
      <c r="B293" s="28"/>
      <c r="C293" s="28"/>
      <c r="E293" s="55"/>
      <c r="F293" s="55"/>
      <c r="K293" s="55"/>
      <c r="L293" s="55"/>
    </row>
    <row r="294">
      <c r="B294" s="28"/>
      <c r="C294" s="28"/>
      <c r="E294" s="55"/>
      <c r="F294" s="55"/>
      <c r="K294" s="55"/>
      <c r="L294" s="55"/>
    </row>
    <row r="295">
      <c r="B295" s="28"/>
      <c r="C295" s="28"/>
      <c r="E295" s="55"/>
      <c r="F295" s="55"/>
      <c r="K295" s="55"/>
      <c r="L295" s="55"/>
    </row>
    <row r="296">
      <c r="B296" s="28"/>
      <c r="C296" s="28"/>
      <c r="E296" s="55"/>
      <c r="F296" s="55"/>
      <c r="K296" s="55"/>
      <c r="L296" s="55"/>
    </row>
    <row r="297">
      <c r="B297" s="28"/>
      <c r="C297" s="28"/>
      <c r="E297" s="55"/>
      <c r="F297" s="55"/>
      <c r="K297" s="55"/>
      <c r="L297" s="55"/>
    </row>
    <row r="298">
      <c r="B298" s="28"/>
      <c r="C298" s="28"/>
      <c r="E298" s="55"/>
      <c r="F298" s="55"/>
      <c r="K298" s="55"/>
      <c r="L298" s="55"/>
    </row>
    <row r="299">
      <c r="B299" s="28"/>
      <c r="C299" s="28"/>
      <c r="E299" s="55"/>
      <c r="F299" s="55"/>
      <c r="K299" s="55"/>
      <c r="L299" s="55"/>
    </row>
    <row r="300">
      <c r="B300" s="28"/>
      <c r="C300" s="28"/>
      <c r="E300" s="55"/>
      <c r="F300" s="55"/>
      <c r="K300" s="55"/>
      <c r="L300" s="55"/>
    </row>
    <row r="301">
      <c r="B301" s="28"/>
      <c r="C301" s="28"/>
      <c r="E301" s="55"/>
      <c r="F301" s="55"/>
      <c r="K301" s="55"/>
      <c r="L301" s="55"/>
    </row>
    <row r="302">
      <c r="B302" s="28"/>
      <c r="C302" s="28"/>
      <c r="E302" s="55"/>
      <c r="F302" s="55"/>
      <c r="K302" s="55"/>
      <c r="L302" s="55"/>
    </row>
    <row r="303">
      <c r="B303" s="28"/>
      <c r="C303" s="28"/>
      <c r="E303" s="55"/>
      <c r="F303" s="55"/>
      <c r="K303" s="55"/>
      <c r="L303" s="55"/>
    </row>
    <row r="304">
      <c r="B304" s="28"/>
      <c r="C304" s="28"/>
      <c r="E304" s="55"/>
      <c r="F304" s="55"/>
      <c r="K304" s="55"/>
      <c r="L304" s="55"/>
    </row>
    <row r="305">
      <c r="B305" s="28"/>
      <c r="C305" s="28"/>
      <c r="E305" s="55"/>
      <c r="F305" s="55"/>
      <c r="K305" s="55"/>
      <c r="L305" s="55"/>
    </row>
    <row r="306">
      <c r="B306" s="28"/>
      <c r="C306" s="28"/>
      <c r="E306" s="55"/>
      <c r="F306" s="55"/>
      <c r="K306" s="55"/>
      <c r="L306" s="55"/>
    </row>
    <row r="307">
      <c r="B307" s="28"/>
      <c r="C307" s="28"/>
      <c r="E307" s="55"/>
      <c r="F307" s="55"/>
      <c r="K307" s="55"/>
      <c r="L307" s="55"/>
    </row>
    <row r="308">
      <c r="B308" s="28"/>
      <c r="C308" s="28"/>
      <c r="E308" s="55"/>
      <c r="F308" s="55"/>
      <c r="K308" s="55"/>
      <c r="L308" s="55"/>
    </row>
    <row r="309">
      <c r="B309" s="28"/>
      <c r="C309" s="28"/>
      <c r="E309" s="55"/>
      <c r="F309" s="55"/>
      <c r="K309" s="55"/>
      <c r="L309" s="55"/>
    </row>
    <row r="310">
      <c r="B310" s="28"/>
      <c r="C310" s="28"/>
      <c r="E310" s="55"/>
      <c r="F310" s="55"/>
      <c r="K310" s="55"/>
      <c r="L310" s="55"/>
    </row>
    <row r="311">
      <c r="B311" s="28"/>
      <c r="C311" s="28"/>
      <c r="E311" s="55"/>
      <c r="F311" s="55"/>
      <c r="K311" s="55"/>
      <c r="L311" s="55"/>
    </row>
    <row r="312">
      <c r="B312" s="28"/>
      <c r="C312" s="28"/>
      <c r="E312" s="55"/>
      <c r="F312" s="55"/>
      <c r="K312" s="55"/>
      <c r="L312" s="55"/>
    </row>
    <row r="313">
      <c r="B313" s="28"/>
      <c r="C313" s="28"/>
      <c r="E313" s="55"/>
      <c r="F313" s="55"/>
      <c r="K313" s="55"/>
      <c r="L313" s="55"/>
    </row>
    <row r="314">
      <c r="B314" s="28"/>
      <c r="C314" s="28"/>
      <c r="E314" s="55"/>
      <c r="F314" s="55"/>
      <c r="K314" s="55"/>
      <c r="L314" s="55"/>
    </row>
    <row r="315">
      <c r="B315" s="28"/>
      <c r="C315" s="28"/>
      <c r="E315" s="55"/>
      <c r="F315" s="55"/>
      <c r="K315" s="55"/>
      <c r="L315" s="55"/>
    </row>
    <row r="316">
      <c r="B316" s="28"/>
      <c r="C316" s="28"/>
      <c r="E316" s="55"/>
      <c r="F316" s="55"/>
      <c r="K316" s="55"/>
      <c r="L316" s="55"/>
    </row>
    <row r="317">
      <c r="B317" s="28"/>
      <c r="C317" s="28"/>
      <c r="E317" s="55"/>
      <c r="F317" s="55"/>
      <c r="K317" s="55"/>
      <c r="L317" s="55"/>
    </row>
    <row r="318">
      <c r="B318" s="28"/>
      <c r="C318" s="28"/>
      <c r="E318" s="55"/>
      <c r="F318" s="55"/>
      <c r="K318" s="55"/>
      <c r="L318" s="55"/>
    </row>
    <row r="319">
      <c r="B319" s="28"/>
      <c r="C319" s="28"/>
      <c r="E319" s="55"/>
      <c r="F319" s="55"/>
      <c r="K319" s="55"/>
      <c r="L319" s="55"/>
    </row>
    <row r="320">
      <c r="B320" s="28"/>
      <c r="C320" s="28"/>
      <c r="E320" s="55"/>
      <c r="F320" s="55"/>
      <c r="K320" s="55"/>
      <c r="L320" s="55"/>
    </row>
    <row r="321">
      <c r="B321" s="28"/>
      <c r="C321" s="28"/>
      <c r="E321" s="55"/>
      <c r="F321" s="55"/>
      <c r="K321" s="55"/>
      <c r="L321" s="55"/>
    </row>
    <row r="322">
      <c r="B322" s="28"/>
      <c r="C322" s="28"/>
      <c r="E322" s="55"/>
      <c r="F322" s="55"/>
      <c r="K322" s="55"/>
      <c r="L322" s="55"/>
    </row>
    <row r="323">
      <c r="B323" s="28"/>
      <c r="C323" s="28"/>
      <c r="E323" s="55"/>
      <c r="F323" s="55"/>
      <c r="K323" s="55"/>
      <c r="L323" s="55"/>
    </row>
    <row r="324">
      <c r="B324" s="28"/>
      <c r="C324" s="28"/>
      <c r="E324" s="55"/>
      <c r="F324" s="55"/>
      <c r="K324" s="55"/>
      <c r="L324" s="55"/>
    </row>
    <row r="325">
      <c r="B325" s="28"/>
      <c r="C325" s="28"/>
      <c r="E325" s="55"/>
      <c r="F325" s="55"/>
      <c r="K325" s="55"/>
      <c r="L325" s="55"/>
    </row>
    <row r="326">
      <c r="B326" s="28"/>
      <c r="C326" s="28"/>
      <c r="E326" s="55"/>
      <c r="F326" s="55"/>
      <c r="K326" s="55"/>
      <c r="L326" s="55"/>
    </row>
    <row r="327">
      <c r="B327" s="28"/>
      <c r="C327" s="28"/>
      <c r="E327" s="55"/>
      <c r="F327" s="55"/>
      <c r="K327" s="55"/>
      <c r="L327" s="55"/>
    </row>
    <row r="328">
      <c r="B328" s="28"/>
      <c r="C328" s="28"/>
      <c r="E328" s="55"/>
      <c r="F328" s="55"/>
      <c r="K328" s="55"/>
      <c r="L328" s="55"/>
    </row>
    <row r="329">
      <c r="B329" s="28"/>
      <c r="C329" s="28"/>
      <c r="E329" s="55"/>
      <c r="F329" s="55"/>
      <c r="K329" s="55"/>
      <c r="L329" s="55"/>
    </row>
    <row r="330">
      <c r="B330" s="28"/>
      <c r="C330" s="28"/>
      <c r="E330" s="55"/>
      <c r="F330" s="55"/>
      <c r="K330" s="55"/>
      <c r="L330" s="55"/>
    </row>
    <row r="331">
      <c r="B331" s="28"/>
      <c r="C331" s="28"/>
      <c r="E331" s="55"/>
      <c r="F331" s="55"/>
      <c r="K331" s="55"/>
      <c r="L331" s="55"/>
    </row>
    <row r="332">
      <c r="B332" s="28"/>
      <c r="C332" s="28"/>
      <c r="E332" s="55"/>
      <c r="F332" s="55"/>
      <c r="K332" s="55"/>
      <c r="L332" s="55"/>
    </row>
    <row r="333">
      <c r="B333" s="28"/>
      <c r="C333" s="28"/>
      <c r="E333" s="55"/>
      <c r="F333" s="55"/>
      <c r="K333" s="55"/>
      <c r="L333" s="55"/>
    </row>
    <row r="334">
      <c r="B334" s="28"/>
      <c r="C334" s="28"/>
      <c r="E334" s="55"/>
      <c r="F334" s="55"/>
      <c r="K334" s="55"/>
      <c r="L334" s="55"/>
    </row>
    <row r="335">
      <c r="B335" s="28"/>
      <c r="C335" s="28"/>
      <c r="E335" s="55"/>
      <c r="F335" s="55"/>
      <c r="K335" s="55"/>
      <c r="L335" s="55"/>
    </row>
    <row r="336">
      <c r="B336" s="28"/>
      <c r="C336" s="28"/>
      <c r="E336" s="55"/>
      <c r="F336" s="55"/>
      <c r="K336" s="55"/>
      <c r="L336" s="55"/>
    </row>
    <row r="337">
      <c r="B337" s="28"/>
      <c r="C337" s="28"/>
      <c r="E337" s="55"/>
      <c r="F337" s="55"/>
      <c r="K337" s="55"/>
      <c r="L337" s="55"/>
    </row>
    <row r="338">
      <c r="B338" s="28"/>
      <c r="C338" s="28"/>
      <c r="E338" s="55"/>
      <c r="F338" s="55"/>
      <c r="K338" s="55"/>
      <c r="L338" s="55"/>
    </row>
    <row r="339">
      <c r="B339" s="28"/>
      <c r="C339" s="28"/>
      <c r="E339" s="55"/>
      <c r="F339" s="55"/>
      <c r="K339" s="55"/>
      <c r="L339" s="55"/>
    </row>
    <row r="340">
      <c r="B340" s="28"/>
      <c r="C340" s="28"/>
      <c r="E340" s="55"/>
      <c r="F340" s="55"/>
      <c r="K340" s="55"/>
      <c r="L340" s="55"/>
    </row>
    <row r="341">
      <c r="B341" s="28"/>
      <c r="C341" s="28"/>
      <c r="E341" s="55"/>
      <c r="F341" s="55"/>
      <c r="K341" s="55"/>
      <c r="L341" s="55"/>
    </row>
    <row r="342">
      <c r="B342" s="28"/>
      <c r="C342" s="28"/>
      <c r="E342" s="55"/>
      <c r="F342" s="55"/>
      <c r="K342" s="55"/>
      <c r="L342" s="55"/>
    </row>
    <row r="343">
      <c r="B343" s="28"/>
      <c r="C343" s="28"/>
      <c r="E343" s="55"/>
      <c r="F343" s="55"/>
      <c r="K343" s="55"/>
      <c r="L343" s="55"/>
    </row>
    <row r="344">
      <c r="B344" s="28"/>
      <c r="C344" s="28"/>
      <c r="E344" s="55"/>
      <c r="F344" s="55"/>
      <c r="K344" s="55"/>
      <c r="L344" s="55"/>
    </row>
    <row r="345">
      <c r="B345" s="28"/>
      <c r="C345" s="28"/>
      <c r="E345" s="55"/>
      <c r="F345" s="55"/>
      <c r="K345" s="55"/>
      <c r="L345" s="55"/>
    </row>
    <row r="346">
      <c r="B346" s="28"/>
      <c r="C346" s="28"/>
      <c r="E346" s="55"/>
      <c r="F346" s="55"/>
      <c r="K346" s="55"/>
      <c r="L346" s="55"/>
    </row>
    <row r="347">
      <c r="B347" s="28"/>
      <c r="C347" s="28"/>
      <c r="E347" s="55"/>
      <c r="F347" s="55"/>
      <c r="K347" s="55"/>
      <c r="L347" s="55"/>
    </row>
    <row r="348">
      <c r="B348" s="28"/>
      <c r="C348" s="28"/>
      <c r="E348" s="55"/>
      <c r="F348" s="55"/>
      <c r="K348" s="55"/>
      <c r="L348" s="55"/>
    </row>
    <row r="349">
      <c r="B349" s="28"/>
      <c r="C349" s="28"/>
      <c r="E349" s="55"/>
      <c r="F349" s="55"/>
      <c r="K349" s="55"/>
      <c r="L349" s="55"/>
    </row>
    <row r="350">
      <c r="B350" s="28"/>
      <c r="C350" s="28"/>
      <c r="E350" s="55"/>
      <c r="F350" s="55"/>
      <c r="K350" s="55"/>
      <c r="L350" s="55"/>
    </row>
    <row r="351">
      <c r="B351" s="28"/>
      <c r="C351" s="28"/>
      <c r="E351" s="55"/>
      <c r="F351" s="55"/>
      <c r="K351" s="55"/>
      <c r="L351" s="55"/>
    </row>
    <row r="352">
      <c r="B352" s="28"/>
      <c r="C352" s="28"/>
      <c r="E352" s="55"/>
      <c r="F352" s="55"/>
      <c r="K352" s="55"/>
      <c r="L352" s="55"/>
    </row>
    <row r="353">
      <c r="B353" s="28"/>
      <c r="C353" s="28"/>
      <c r="E353" s="55"/>
      <c r="F353" s="55"/>
      <c r="K353" s="55"/>
      <c r="L353" s="55"/>
    </row>
    <row r="354">
      <c r="B354" s="28"/>
      <c r="C354" s="28"/>
      <c r="E354" s="55"/>
      <c r="F354" s="55"/>
      <c r="K354" s="55"/>
      <c r="L354" s="55"/>
    </row>
    <row r="355">
      <c r="B355" s="28"/>
      <c r="C355" s="28"/>
      <c r="E355" s="55"/>
      <c r="F355" s="55"/>
      <c r="K355" s="55"/>
      <c r="L355" s="55"/>
    </row>
    <row r="356">
      <c r="B356" s="28"/>
      <c r="C356" s="28"/>
      <c r="E356" s="55"/>
      <c r="F356" s="55"/>
      <c r="K356" s="55"/>
      <c r="L356" s="55"/>
    </row>
    <row r="357">
      <c r="B357" s="28"/>
      <c r="C357" s="28"/>
      <c r="E357" s="55"/>
      <c r="F357" s="55"/>
      <c r="K357" s="55"/>
      <c r="L357" s="55"/>
    </row>
    <row r="358">
      <c r="B358" s="28"/>
      <c r="C358" s="28"/>
      <c r="E358" s="55"/>
      <c r="F358" s="55"/>
      <c r="K358" s="55"/>
      <c r="L358" s="55"/>
    </row>
    <row r="359">
      <c r="B359" s="28"/>
      <c r="C359" s="28"/>
      <c r="E359" s="55"/>
      <c r="F359" s="55"/>
      <c r="K359" s="55"/>
      <c r="L359" s="55"/>
    </row>
    <row r="360">
      <c r="B360" s="28"/>
      <c r="C360" s="28"/>
      <c r="E360" s="55"/>
      <c r="F360" s="55"/>
      <c r="K360" s="55"/>
      <c r="L360" s="55"/>
    </row>
    <row r="361">
      <c r="B361" s="28"/>
      <c r="C361" s="28"/>
      <c r="E361" s="55"/>
      <c r="F361" s="55"/>
      <c r="K361" s="55"/>
      <c r="L361" s="55"/>
    </row>
    <row r="362">
      <c r="B362" s="28"/>
      <c r="C362" s="28"/>
      <c r="E362" s="55"/>
      <c r="F362" s="55"/>
      <c r="K362" s="55"/>
      <c r="L362" s="55"/>
    </row>
    <row r="363">
      <c r="B363" s="28"/>
      <c r="C363" s="28"/>
      <c r="E363" s="55"/>
      <c r="F363" s="55"/>
      <c r="K363" s="55"/>
      <c r="L363" s="55"/>
    </row>
    <row r="364">
      <c r="B364" s="28"/>
      <c r="C364" s="28"/>
      <c r="E364" s="55"/>
      <c r="F364" s="55"/>
      <c r="K364" s="55"/>
      <c r="L364" s="55"/>
    </row>
    <row r="365">
      <c r="B365" s="28"/>
      <c r="C365" s="28"/>
      <c r="E365" s="55"/>
      <c r="F365" s="55"/>
      <c r="K365" s="55"/>
      <c r="L365" s="55"/>
    </row>
    <row r="366">
      <c r="B366" s="28"/>
      <c r="C366" s="28"/>
      <c r="E366" s="55"/>
      <c r="F366" s="55"/>
      <c r="K366" s="55"/>
      <c r="L366" s="55"/>
    </row>
    <row r="367">
      <c r="B367" s="28"/>
      <c r="C367" s="28"/>
      <c r="E367" s="55"/>
      <c r="F367" s="55"/>
      <c r="K367" s="55"/>
      <c r="L367" s="55"/>
    </row>
    <row r="368">
      <c r="B368" s="28"/>
      <c r="C368" s="28"/>
      <c r="E368" s="55"/>
      <c r="F368" s="55"/>
      <c r="K368" s="55"/>
      <c r="L368" s="55"/>
    </row>
    <row r="369">
      <c r="B369" s="28"/>
      <c r="C369" s="28"/>
      <c r="E369" s="55"/>
      <c r="F369" s="55"/>
      <c r="K369" s="55"/>
      <c r="L369" s="55"/>
    </row>
    <row r="370">
      <c r="B370" s="28"/>
      <c r="C370" s="28"/>
      <c r="E370" s="55"/>
      <c r="F370" s="55"/>
      <c r="K370" s="55"/>
      <c r="L370" s="55"/>
    </row>
    <row r="371">
      <c r="B371" s="28"/>
      <c r="C371" s="28"/>
      <c r="E371" s="55"/>
      <c r="F371" s="55"/>
      <c r="K371" s="55"/>
      <c r="L371" s="55"/>
    </row>
    <row r="372">
      <c r="B372" s="28"/>
      <c r="C372" s="28"/>
      <c r="E372" s="55"/>
      <c r="F372" s="55"/>
      <c r="K372" s="55"/>
      <c r="L372" s="55"/>
    </row>
    <row r="373">
      <c r="B373" s="28"/>
      <c r="C373" s="28"/>
      <c r="E373" s="55"/>
      <c r="F373" s="55"/>
      <c r="K373" s="55"/>
      <c r="L373" s="55"/>
    </row>
    <row r="374">
      <c r="B374" s="28"/>
      <c r="C374" s="28"/>
      <c r="E374" s="55"/>
      <c r="F374" s="55"/>
      <c r="K374" s="55"/>
      <c r="L374" s="55"/>
    </row>
    <row r="375">
      <c r="B375" s="28"/>
      <c r="C375" s="28"/>
      <c r="E375" s="55"/>
      <c r="F375" s="55"/>
      <c r="K375" s="55"/>
      <c r="L375" s="55"/>
    </row>
    <row r="376">
      <c r="B376" s="28"/>
      <c r="C376" s="28"/>
      <c r="E376" s="55"/>
      <c r="F376" s="55"/>
      <c r="K376" s="55"/>
      <c r="L376" s="55"/>
    </row>
    <row r="377">
      <c r="B377" s="28"/>
      <c r="C377" s="28"/>
      <c r="E377" s="55"/>
      <c r="F377" s="55"/>
      <c r="K377" s="55"/>
      <c r="L377" s="55"/>
    </row>
    <row r="378">
      <c r="B378" s="28"/>
      <c r="C378" s="28"/>
      <c r="E378" s="55"/>
      <c r="F378" s="55"/>
      <c r="K378" s="55"/>
      <c r="L378" s="55"/>
    </row>
    <row r="379">
      <c r="B379" s="28"/>
      <c r="C379" s="28"/>
      <c r="E379" s="55"/>
      <c r="F379" s="55"/>
      <c r="K379" s="55"/>
      <c r="L379" s="55"/>
    </row>
    <row r="380">
      <c r="B380" s="28"/>
      <c r="C380" s="28"/>
      <c r="E380" s="55"/>
      <c r="F380" s="55"/>
      <c r="K380" s="55"/>
      <c r="L380" s="55"/>
    </row>
    <row r="381">
      <c r="B381" s="28"/>
      <c r="C381" s="28"/>
      <c r="E381" s="55"/>
      <c r="F381" s="55"/>
      <c r="K381" s="55"/>
      <c r="L381" s="55"/>
    </row>
    <row r="382">
      <c r="B382" s="28"/>
      <c r="C382" s="28"/>
      <c r="E382" s="55"/>
      <c r="F382" s="55"/>
      <c r="K382" s="55"/>
      <c r="L382" s="55"/>
    </row>
    <row r="383">
      <c r="B383" s="28"/>
      <c r="C383" s="28"/>
      <c r="E383" s="55"/>
      <c r="F383" s="55"/>
      <c r="K383" s="55"/>
      <c r="L383" s="55"/>
    </row>
    <row r="384">
      <c r="B384" s="28"/>
      <c r="C384" s="28"/>
      <c r="E384" s="55"/>
      <c r="F384" s="55"/>
      <c r="K384" s="55"/>
      <c r="L384" s="55"/>
    </row>
    <row r="385">
      <c r="B385" s="28"/>
      <c r="C385" s="28"/>
      <c r="E385" s="55"/>
      <c r="F385" s="55"/>
      <c r="K385" s="55"/>
      <c r="L385" s="55"/>
    </row>
    <row r="386">
      <c r="B386" s="28"/>
      <c r="C386" s="28"/>
      <c r="E386" s="55"/>
      <c r="F386" s="55"/>
      <c r="K386" s="55"/>
      <c r="L386" s="55"/>
    </row>
    <row r="387">
      <c r="B387" s="28"/>
      <c r="C387" s="28"/>
      <c r="E387" s="55"/>
      <c r="F387" s="55"/>
      <c r="K387" s="55"/>
      <c r="L387" s="55"/>
    </row>
    <row r="388">
      <c r="B388" s="28"/>
      <c r="C388" s="28"/>
      <c r="E388" s="55"/>
      <c r="F388" s="55"/>
      <c r="K388" s="55"/>
      <c r="L388" s="55"/>
    </row>
    <row r="389">
      <c r="B389" s="28"/>
      <c r="C389" s="28"/>
      <c r="E389" s="55"/>
      <c r="F389" s="55"/>
      <c r="K389" s="55"/>
      <c r="L389" s="55"/>
    </row>
    <row r="390">
      <c r="B390" s="28"/>
      <c r="C390" s="28"/>
      <c r="E390" s="55"/>
      <c r="F390" s="55"/>
      <c r="K390" s="55"/>
      <c r="L390" s="55"/>
    </row>
    <row r="391">
      <c r="B391" s="28"/>
      <c r="C391" s="28"/>
      <c r="E391" s="55"/>
      <c r="F391" s="55"/>
      <c r="K391" s="55"/>
      <c r="L391" s="55"/>
    </row>
    <row r="392">
      <c r="B392" s="28"/>
      <c r="C392" s="28"/>
      <c r="E392" s="55"/>
      <c r="F392" s="55"/>
      <c r="K392" s="55"/>
      <c r="L392" s="55"/>
    </row>
    <row r="393">
      <c r="B393" s="28"/>
      <c r="C393" s="28"/>
      <c r="E393" s="55"/>
      <c r="F393" s="55"/>
      <c r="K393" s="55"/>
      <c r="L393" s="55"/>
    </row>
    <row r="394">
      <c r="B394" s="28"/>
      <c r="C394" s="28"/>
      <c r="E394" s="55"/>
      <c r="F394" s="55"/>
      <c r="K394" s="55"/>
      <c r="L394" s="55"/>
    </row>
    <row r="395">
      <c r="B395" s="28"/>
      <c r="C395" s="28"/>
      <c r="E395" s="55"/>
      <c r="F395" s="55"/>
      <c r="K395" s="55"/>
      <c r="L395" s="55"/>
    </row>
    <row r="396">
      <c r="B396" s="28"/>
      <c r="C396" s="28"/>
      <c r="E396" s="55"/>
      <c r="F396" s="55"/>
      <c r="K396" s="55"/>
      <c r="L396" s="55"/>
    </row>
    <row r="397">
      <c r="B397" s="28"/>
      <c r="C397" s="28"/>
      <c r="E397" s="55"/>
      <c r="F397" s="55"/>
      <c r="K397" s="55"/>
      <c r="L397" s="55"/>
    </row>
    <row r="398">
      <c r="B398" s="28"/>
      <c r="C398" s="28"/>
      <c r="E398" s="55"/>
      <c r="F398" s="55"/>
      <c r="K398" s="55"/>
      <c r="L398" s="55"/>
    </row>
    <row r="399">
      <c r="B399" s="28"/>
      <c r="C399" s="28"/>
      <c r="E399" s="55"/>
      <c r="F399" s="55"/>
      <c r="K399" s="55"/>
      <c r="L399" s="55"/>
    </row>
    <row r="400">
      <c r="B400" s="28"/>
      <c r="C400" s="28"/>
      <c r="E400" s="55"/>
      <c r="F400" s="55"/>
      <c r="K400" s="55"/>
      <c r="L400" s="55"/>
    </row>
    <row r="401">
      <c r="B401" s="28"/>
      <c r="C401" s="28"/>
      <c r="E401" s="55"/>
      <c r="F401" s="55"/>
      <c r="K401" s="55"/>
      <c r="L401" s="55"/>
    </row>
    <row r="402">
      <c r="B402" s="28"/>
      <c r="C402" s="28"/>
      <c r="E402" s="55"/>
      <c r="F402" s="55"/>
      <c r="K402" s="55"/>
      <c r="L402" s="55"/>
    </row>
    <row r="403">
      <c r="B403" s="28"/>
      <c r="C403" s="28"/>
      <c r="E403" s="55"/>
      <c r="F403" s="55"/>
      <c r="K403" s="55"/>
      <c r="L403" s="55"/>
    </row>
    <row r="404">
      <c r="B404" s="28"/>
      <c r="C404" s="28"/>
      <c r="E404" s="55"/>
      <c r="F404" s="55"/>
      <c r="K404" s="55"/>
      <c r="L404" s="55"/>
    </row>
    <row r="405">
      <c r="B405" s="28"/>
      <c r="C405" s="28"/>
      <c r="E405" s="55"/>
      <c r="F405" s="55"/>
      <c r="K405" s="55"/>
      <c r="L405" s="55"/>
    </row>
    <row r="406">
      <c r="B406" s="28"/>
      <c r="C406" s="28"/>
      <c r="E406" s="55"/>
      <c r="F406" s="55"/>
      <c r="K406" s="55"/>
      <c r="L406" s="55"/>
    </row>
    <row r="407">
      <c r="B407" s="28"/>
      <c r="C407" s="28"/>
      <c r="E407" s="55"/>
      <c r="F407" s="55"/>
      <c r="K407" s="55"/>
      <c r="L407" s="55"/>
    </row>
    <row r="408">
      <c r="B408" s="28"/>
      <c r="C408" s="28"/>
      <c r="E408" s="55"/>
      <c r="F408" s="55"/>
      <c r="K408" s="55"/>
      <c r="L408" s="55"/>
    </row>
    <row r="409">
      <c r="B409" s="28"/>
      <c r="C409" s="28"/>
      <c r="E409" s="55"/>
      <c r="F409" s="55"/>
      <c r="K409" s="55"/>
      <c r="L409" s="55"/>
    </row>
    <row r="410">
      <c r="B410" s="28"/>
      <c r="C410" s="28"/>
      <c r="E410" s="55"/>
      <c r="F410" s="55"/>
      <c r="K410" s="55"/>
      <c r="L410" s="55"/>
    </row>
    <row r="411">
      <c r="B411" s="28"/>
      <c r="C411" s="28"/>
      <c r="E411" s="55"/>
      <c r="F411" s="55"/>
      <c r="K411" s="55"/>
      <c r="L411" s="55"/>
    </row>
    <row r="412">
      <c r="B412" s="28"/>
      <c r="C412" s="28"/>
      <c r="E412" s="55"/>
      <c r="F412" s="55"/>
      <c r="K412" s="55"/>
      <c r="L412" s="55"/>
    </row>
    <row r="413">
      <c r="B413" s="28"/>
      <c r="C413" s="28"/>
      <c r="E413" s="55"/>
      <c r="F413" s="55"/>
      <c r="K413" s="55"/>
      <c r="L413" s="55"/>
    </row>
    <row r="414">
      <c r="B414" s="28"/>
      <c r="C414" s="28"/>
      <c r="E414" s="55"/>
      <c r="F414" s="55"/>
      <c r="K414" s="55"/>
      <c r="L414" s="55"/>
    </row>
    <row r="415">
      <c r="B415" s="28"/>
      <c r="C415" s="28"/>
      <c r="E415" s="55"/>
      <c r="F415" s="55"/>
      <c r="K415" s="55"/>
      <c r="L415" s="55"/>
    </row>
    <row r="416">
      <c r="B416" s="28"/>
      <c r="C416" s="28"/>
      <c r="E416" s="55"/>
      <c r="F416" s="55"/>
      <c r="K416" s="55"/>
      <c r="L416" s="55"/>
    </row>
    <row r="417">
      <c r="B417" s="28"/>
      <c r="C417" s="28"/>
      <c r="E417" s="55"/>
      <c r="F417" s="55"/>
      <c r="K417" s="55"/>
      <c r="L417" s="55"/>
    </row>
    <row r="418">
      <c r="B418" s="28"/>
      <c r="C418" s="28"/>
      <c r="E418" s="55"/>
      <c r="F418" s="55"/>
      <c r="K418" s="55"/>
      <c r="L418" s="55"/>
    </row>
    <row r="419">
      <c r="B419" s="28"/>
      <c r="C419" s="28"/>
      <c r="E419" s="55"/>
      <c r="F419" s="55"/>
      <c r="K419" s="55"/>
      <c r="L419" s="55"/>
    </row>
    <row r="420">
      <c r="B420" s="28"/>
      <c r="C420" s="28"/>
      <c r="E420" s="55"/>
      <c r="F420" s="55"/>
      <c r="K420" s="55"/>
      <c r="L420" s="55"/>
    </row>
    <row r="421">
      <c r="B421" s="28"/>
      <c r="C421" s="28"/>
      <c r="E421" s="55"/>
      <c r="F421" s="55"/>
      <c r="K421" s="55"/>
      <c r="L421" s="55"/>
    </row>
    <row r="422">
      <c r="B422" s="28"/>
      <c r="C422" s="28"/>
      <c r="E422" s="55"/>
      <c r="F422" s="55"/>
      <c r="K422" s="55"/>
      <c r="L422" s="55"/>
    </row>
    <row r="423">
      <c r="B423" s="28"/>
      <c r="C423" s="28"/>
      <c r="E423" s="55"/>
      <c r="F423" s="55"/>
      <c r="K423" s="55"/>
      <c r="L423" s="55"/>
    </row>
    <row r="424">
      <c r="B424" s="28"/>
      <c r="C424" s="28"/>
      <c r="E424" s="55"/>
      <c r="F424" s="55"/>
      <c r="K424" s="55"/>
      <c r="L424" s="55"/>
    </row>
    <row r="425">
      <c r="B425" s="28"/>
      <c r="C425" s="28"/>
      <c r="E425" s="55"/>
      <c r="F425" s="55"/>
      <c r="K425" s="55"/>
      <c r="L425" s="55"/>
    </row>
    <row r="426">
      <c r="B426" s="28"/>
      <c r="C426" s="28"/>
      <c r="E426" s="55"/>
      <c r="F426" s="55"/>
      <c r="K426" s="55"/>
      <c r="L426" s="55"/>
    </row>
    <row r="427">
      <c r="B427" s="28"/>
      <c r="C427" s="28"/>
      <c r="E427" s="55"/>
      <c r="F427" s="55"/>
      <c r="K427" s="55"/>
      <c r="L427" s="55"/>
    </row>
    <row r="428">
      <c r="B428" s="28"/>
      <c r="C428" s="28"/>
      <c r="E428" s="55"/>
      <c r="F428" s="55"/>
      <c r="K428" s="55"/>
      <c r="L428" s="55"/>
    </row>
    <row r="429">
      <c r="B429" s="28"/>
      <c r="C429" s="28"/>
      <c r="E429" s="55"/>
      <c r="F429" s="55"/>
      <c r="K429" s="55"/>
      <c r="L429" s="55"/>
    </row>
    <row r="430">
      <c r="B430" s="28"/>
      <c r="C430" s="28"/>
      <c r="E430" s="55"/>
      <c r="F430" s="55"/>
      <c r="K430" s="55"/>
      <c r="L430" s="55"/>
    </row>
    <row r="431">
      <c r="B431" s="28"/>
      <c r="C431" s="28"/>
      <c r="E431" s="55"/>
      <c r="F431" s="55"/>
      <c r="K431" s="55"/>
      <c r="L431" s="55"/>
    </row>
    <row r="432">
      <c r="B432" s="28"/>
      <c r="C432" s="28"/>
      <c r="E432" s="55"/>
      <c r="F432" s="55"/>
      <c r="K432" s="55"/>
      <c r="L432" s="55"/>
    </row>
    <row r="433">
      <c r="B433" s="28"/>
      <c r="C433" s="28"/>
      <c r="E433" s="55"/>
      <c r="F433" s="55"/>
      <c r="K433" s="55"/>
      <c r="L433" s="55"/>
    </row>
    <row r="434">
      <c r="B434" s="28"/>
      <c r="C434" s="28"/>
      <c r="E434" s="55"/>
      <c r="F434" s="55"/>
      <c r="K434" s="55"/>
      <c r="L434" s="55"/>
    </row>
    <row r="435">
      <c r="B435" s="28"/>
      <c r="C435" s="28"/>
      <c r="E435" s="55"/>
      <c r="F435" s="55"/>
      <c r="K435" s="55"/>
      <c r="L435" s="55"/>
    </row>
    <row r="436">
      <c r="B436" s="28"/>
      <c r="C436" s="28"/>
      <c r="E436" s="55"/>
      <c r="F436" s="55"/>
      <c r="K436" s="55"/>
      <c r="L436" s="55"/>
    </row>
    <row r="437">
      <c r="B437" s="28"/>
      <c r="C437" s="28"/>
      <c r="E437" s="55"/>
      <c r="F437" s="55"/>
      <c r="K437" s="55"/>
      <c r="L437" s="55"/>
    </row>
    <row r="438">
      <c r="B438" s="28"/>
      <c r="C438" s="28"/>
      <c r="E438" s="55"/>
      <c r="F438" s="55"/>
      <c r="K438" s="55"/>
      <c r="L438" s="55"/>
    </row>
    <row r="439">
      <c r="B439" s="28"/>
      <c r="C439" s="28"/>
      <c r="E439" s="55"/>
      <c r="F439" s="55"/>
      <c r="K439" s="55"/>
      <c r="L439" s="55"/>
    </row>
    <row r="440">
      <c r="B440" s="28"/>
      <c r="C440" s="28"/>
      <c r="E440" s="55"/>
      <c r="F440" s="55"/>
      <c r="K440" s="55"/>
      <c r="L440" s="55"/>
    </row>
    <row r="441">
      <c r="B441" s="28"/>
      <c r="C441" s="28"/>
      <c r="E441" s="55"/>
      <c r="F441" s="55"/>
      <c r="K441" s="55"/>
      <c r="L441" s="55"/>
    </row>
    <row r="442">
      <c r="B442" s="28"/>
      <c r="C442" s="28"/>
      <c r="E442" s="55"/>
      <c r="F442" s="55"/>
      <c r="K442" s="55"/>
      <c r="L442" s="55"/>
    </row>
    <row r="443">
      <c r="B443" s="28"/>
      <c r="C443" s="28"/>
      <c r="E443" s="55"/>
      <c r="F443" s="55"/>
      <c r="K443" s="55"/>
      <c r="L443" s="55"/>
    </row>
    <row r="444">
      <c r="B444" s="28"/>
      <c r="C444" s="28"/>
      <c r="E444" s="55"/>
      <c r="F444" s="55"/>
      <c r="K444" s="55"/>
      <c r="L444" s="55"/>
    </row>
    <row r="445">
      <c r="B445" s="28"/>
      <c r="C445" s="28"/>
      <c r="E445" s="55"/>
      <c r="F445" s="55"/>
      <c r="K445" s="55"/>
      <c r="L445" s="55"/>
    </row>
    <row r="446">
      <c r="B446" s="28"/>
      <c r="C446" s="28"/>
      <c r="E446" s="55"/>
      <c r="F446" s="55"/>
      <c r="K446" s="55"/>
      <c r="L446" s="55"/>
    </row>
    <row r="447">
      <c r="B447" s="28"/>
      <c r="C447" s="28"/>
      <c r="E447" s="55"/>
      <c r="F447" s="55"/>
      <c r="K447" s="55"/>
      <c r="L447" s="55"/>
    </row>
    <row r="448">
      <c r="B448" s="28"/>
      <c r="C448" s="28"/>
      <c r="E448" s="55"/>
      <c r="F448" s="55"/>
      <c r="K448" s="55"/>
      <c r="L448" s="55"/>
    </row>
    <row r="449">
      <c r="B449" s="28"/>
      <c r="C449" s="28"/>
      <c r="E449" s="55"/>
      <c r="F449" s="55"/>
      <c r="K449" s="55"/>
      <c r="L449" s="55"/>
    </row>
    <row r="450">
      <c r="B450" s="28"/>
      <c r="C450" s="28"/>
      <c r="E450" s="55"/>
      <c r="F450" s="55"/>
      <c r="K450" s="55"/>
      <c r="L450" s="55"/>
    </row>
    <row r="451">
      <c r="B451" s="28"/>
      <c r="C451" s="28"/>
      <c r="E451" s="55"/>
      <c r="F451" s="55"/>
      <c r="K451" s="55"/>
      <c r="L451" s="55"/>
    </row>
    <row r="452">
      <c r="B452" s="28"/>
      <c r="C452" s="28"/>
      <c r="E452" s="55"/>
      <c r="F452" s="55"/>
      <c r="K452" s="55"/>
      <c r="L452" s="55"/>
    </row>
    <row r="453">
      <c r="B453" s="28"/>
      <c r="C453" s="28"/>
      <c r="E453" s="55"/>
      <c r="F453" s="55"/>
      <c r="K453" s="55"/>
      <c r="L453" s="55"/>
    </row>
    <row r="454">
      <c r="B454" s="28"/>
      <c r="C454" s="28"/>
      <c r="E454" s="55"/>
      <c r="F454" s="55"/>
      <c r="K454" s="55"/>
      <c r="L454" s="55"/>
    </row>
    <row r="455">
      <c r="B455" s="28"/>
      <c r="C455" s="28"/>
      <c r="E455" s="55"/>
      <c r="F455" s="55"/>
      <c r="K455" s="55"/>
      <c r="L455" s="55"/>
    </row>
    <row r="456">
      <c r="B456" s="28"/>
      <c r="C456" s="28"/>
      <c r="E456" s="55"/>
      <c r="F456" s="55"/>
      <c r="K456" s="55"/>
      <c r="L456" s="55"/>
    </row>
    <row r="457">
      <c r="B457" s="28"/>
      <c r="C457" s="28"/>
      <c r="E457" s="55"/>
      <c r="F457" s="55"/>
      <c r="K457" s="55"/>
      <c r="L457" s="55"/>
    </row>
    <row r="458">
      <c r="B458" s="28"/>
      <c r="C458" s="28"/>
      <c r="E458" s="55"/>
      <c r="F458" s="55"/>
      <c r="K458" s="55"/>
      <c r="L458" s="55"/>
    </row>
    <row r="459">
      <c r="B459" s="28"/>
      <c r="C459" s="28"/>
      <c r="E459" s="55"/>
      <c r="F459" s="55"/>
      <c r="K459" s="55"/>
      <c r="L459" s="55"/>
    </row>
    <row r="460">
      <c r="B460" s="28"/>
      <c r="C460" s="28"/>
      <c r="E460" s="55"/>
      <c r="F460" s="55"/>
      <c r="K460" s="55"/>
      <c r="L460" s="55"/>
    </row>
    <row r="461">
      <c r="B461" s="28"/>
      <c r="C461" s="28"/>
      <c r="E461" s="55"/>
      <c r="F461" s="55"/>
      <c r="K461" s="55"/>
      <c r="L461" s="55"/>
    </row>
    <row r="462">
      <c r="B462" s="28"/>
      <c r="C462" s="28"/>
      <c r="E462" s="55"/>
      <c r="F462" s="55"/>
      <c r="K462" s="55"/>
      <c r="L462" s="55"/>
    </row>
    <row r="463">
      <c r="B463" s="28"/>
      <c r="C463" s="28"/>
      <c r="E463" s="55"/>
      <c r="F463" s="55"/>
      <c r="K463" s="55"/>
      <c r="L463" s="55"/>
    </row>
    <row r="464">
      <c r="B464" s="28"/>
      <c r="C464" s="28"/>
      <c r="E464" s="55"/>
      <c r="F464" s="55"/>
      <c r="K464" s="55"/>
      <c r="L464" s="55"/>
    </row>
    <row r="465">
      <c r="B465" s="28"/>
      <c r="C465" s="28"/>
      <c r="E465" s="55"/>
      <c r="F465" s="55"/>
      <c r="K465" s="55"/>
      <c r="L465" s="55"/>
    </row>
    <row r="466">
      <c r="B466" s="28"/>
      <c r="C466" s="28"/>
      <c r="E466" s="55"/>
      <c r="F466" s="55"/>
      <c r="K466" s="55"/>
      <c r="L466" s="55"/>
    </row>
    <row r="467">
      <c r="B467" s="28"/>
      <c r="C467" s="28"/>
      <c r="E467" s="55"/>
      <c r="F467" s="55"/>
      <c r="K467" s="55"/>
      <c r="L467" s="55"/>
    </row>
    <row r="468">
      <c r="B468" s="28"/>
      <c r="C468" s="28"/>
      <c r="E468" s="55"/>
      <c r="F468" s="55"/>
      <c r="K468" s="55"/>
      <c r="L468" s="55"/>
    </row>
    <row r="469">
      <c r="B469" s="28"/>
      <c r="C469" s="28"/>
      <c r="E469" s="55"/>
      <c r="F469" s="55"/>
      <c r="K469" s="55"/>
      <c r="L469" s="55"/>
    </row>
    <row r="470">
      <c r="B470" s="28"/>
      <c r="C470" s="28"/>
      <c r="E470" s="55"/>
      <c r="F470" s="55"/>
      <c r="K470" s="55"/>
      <c r="L470" s="55"/>
    </row>
    <row r="471">
      <c r="B471" s="28"/>
      <c r="C471" s="28"/>
      <c r="E471" s="55"/>
      <c r="F471" s="55"/>
      <c r="K471" s="55"/>
      <c r="L471" s="55"/>
    </row>
    <row r="472">
      <c r="B472" s="28"/>
      <c r="C472" s="28"/>
      <c r="E472" s="55"/>
      <c r="F472" s="55"/>
      <c r="K472" s="55"/>
      <c r="L472" s="55"/>
    </row>
    <row r="473">
      <c r="B473" s="28"/>
      <c r="C473" s="28"/>
      <c r="E473" s="55"/>
      <c r="F473" s="55"/>
      <c r="K473" s="55"/>
      <c r="L473" s="55"/>
    </row>
    <row r="474">
      <c r="B474" s="28"/>
      <c r="C474" s="28"/>
      <c r="E474" s="55"/>
      <c r="F474" s="55"/>
      <c r="K474" s="55"/>
      <c r="L474" s="55"/>
    </row>
    <row r="475">
      <c r="B475" s="28"/>
      <c r="C475" s="28"/>
      <c r="E475" s="55"/>
      <c r="F475" s="55"/>
      <c r="K475" s="55"/>
      <c r="L475" s="55"/>
    </row>
    <row r="476">
      <c r="B476" s="28"/>
      <c r="C476" s="28"/>
      <c r="E476" s="55"/>
      <c r="F476" s="55"/>
      <c r="K476" s="55"/>
      <c r="L476" s="55"/>
    </row>
    <row r="477">
      <c r="B477" s="28"/>
      <c r="C477" s="28"/>
      <c r="E477" s="55"/>
      <c r="F477" s="55"/>
      <c r="K477" s="55"/>
      <c r="L477" s="55"/>
    </row>
    <row r="478">
      <c r="B478" s="28"/>
      <c r="C478" s="28"/>
      <c r="E478" s="55"/>
      <c r="F478" s="55"/>
      <c r="K478" s="55"/>
      <c r="L478" s="55"/>
    </row>
    <row r="479">
      <c r="B479" s="28"/>
      <c r="C479" s="28"/>
      <c r="E479" s="55"/>
      <c r="F479" s="55"/>
      <c r="K479" s="55"/>
      <c r="L479" s="55"/>
    </row>
    <row r="480">
      <c r="B480" s="28"/>
      <c r="C480" s="28"/>
      <c r="E480" s="55"/>
      <c r="F480" s="55"/>
      <c r="K480" s="55"/>
      <c r="L480" s="55"/>
    </row>
    <row r="481">
      <c r="B481" s="28"/>
      <c r="C481" s="28"/>
      <c r="E481" s="55"/>
      <c r="F481" s="55"/>
      <c r="K481" s="55"/>
      <c r="L481" s="55"/>
    </row>
    <row r="482">
      <c r="B482" s="28"/>
      <c r="C482" s="28"/>
      <c r="E482" s="55"/>
      <c r="F482" s="55"/>
      <c r="K482" s="55"/>
      <c r="L482" s="55"/>
    </row>
    <row r="483">
      <c r="B483" s="28"/>
      <c r="C483" s="28"/>
      <c r="E483" s="55"/>
      <c r="F483" s="55"/>
      <c r="K483" s="55"/>
      <c r="L483" s="55"/>
    </row>
    <row r="484">
      <c r="B484" s="28"/>
      <c r="C484" s="28"/>
      <c r="E484" s="55"/>
      <c r="F484" s="55"/>
      <c r="K484" s="55"/>
      <c r="L484" s="55"/>
    </row>
    <row r="485">
      <c r="B485" s="28"/>
      <c r="C485" s="28"/>
      <c r="E485" s="55"/>
      <c r="F485" s="55"/>
      <c r="K485" s="55"/>
      <c r="L485" s="55"/>
    </row>
    <row r="486">
      <c r="B486" s="28"/>
      <c r="C486" s="28"/>
      <c r="E486" s="55"/>
      <c r="F486" s="55"/>
      <c r="K486" s="55"/>
      <c r="L486" s="55"/>
    </row>
    <row r="487">
      <c r="B487" s="28"/>
      <c r="C487" s="28"/>
      <c r="E487" s="55"/>
      <c r="F487" s="55"/>
      <c r="K487" s="55"/>
      <c r="L487" s="55"/>
    </row>
    <row r="488">
      <c r="B488" s="28"/>
      <c r="C488" s="28"/>
      <c r="E488" s="55"/>
      <c r="F488" s="55"/>
      <c r="K488" s="55"/>
      <c r="L488" s="55"/>
    </row>
    <row r="489">
      <c r="B489" s="28"/>
      <c r="C489" s="28"/>
      <c r="E489" s="55"/>
      <c r="F489" s="55"/>
      <c r="K489" s="55"/>
      <c r="L489" s="55"/>
    </row>
    <row r="490">
      <c r="B490" s="28"/>
      <c r="C490" s="28"/>
      <c r="E490" s="55"/>
      <c r="F490" s="55"/>
      <c r="K490" s="55"/>
      <c r="L490" s="55"/>
    </row>
    <row r="491">
      <c r="B491" s="28"/>
      <c r="C491" s="28"/>
      <c r="E491" s="55"/>
      <c r="F491" s="55"/>
      <c r="K491" s="55"/>
      <c r="L491" s="55"/>
    </row>
    <row r="492">
      <c r="B492" s="28"/>
      <c r="C492" s="28"/>
      <c r="E492" s="55"/>
      <c r="F492" s="55"/>
      <c r="K492" s="55"/>
      <c r="L492" s="55"/>
    </row>
    <row r="493">
      <c r="B493" s="28"/>
      <c r="C493" s="28"/>
      <c r="E493" s="55"/>
      <c r="F493" s="55"/>
      <c r="K493" s="55"/>
      <c r="L493" s="55"/>
    </row>
    <row r="494">
      <c r="B494" s="28"/>
      <c r="C494" s="28"/>
      <c r="E494" s="55"/>
      <c r="F494" s="55"/>
      <c r="K494" s="55"/>
      <c r="L494" s="55"/>
    </row>
    <row r="495">
      <c r="B495" s="28"/>
      <c r="C495" s="28"/>
      <c r="E495" s="55"/>
      <c r="F495" s="55"/>
      <c r="K495" s="55"/>
      <c r="L495" s="55"/>
    </row>
    <row r="496">
      <c r="B496" s="28"/>
      <c r="C496" s="28"/>
      <c r="E496" s="55"/>
      <c r="F496" s="55"/>
      <c r="K496" s="55"/>
      <c r="L496" s="55"/>
    </row>
    <row r="497">
      <c r="B497" s="28"/>
      <c r="C497" s="28"/>
      <c r="E497" s="55"/>
      <c r="F497" s="55"/>
      <c r="K497" s="55"/>
      <c r="L497" s="55"/>
    </row>
    <row r="498">
      <c r="B498" s="28"/>
      <c r="C498" s="28"/>
      <c r="E498" s="55"/>
      <c r="F498" s="55"/>
      <c r="K498" s="55"/>
      <c r="L498" s="55"/>
    </row>
    <row r="499">
      <c r="B499" s="28"/>
      <c r="C499" s="28"/>
      <c r="E499" s="55"/>
      <c r="F499" s="55"/>
      <c r="K499" s="55"/>
      <c r="L499" s="55"/>
    </row>
    <row r="500">
      <c r="B500" s="28"/>
      <c r="C500" s="28"/>
      <c r="E500" s="55"/>
      <c r="F500" s="55"/>
      <c r="K500" s="55"/>
      <c r="L500" s="55"/>
    </row>
    <row r="501">
      <c r="B501" s="28"/>
      <c r="C501" s="28"/>
      <c r="E501" s="55"/>
      <c r="F501" s="55"/>
      <c r="K501" s="55"/>
      <c r="L501" s="55"/>
    </row>
    <row r="502">
      <c r="B502" s="28"/>
      <c r="C502" s="28"/>
      <c r="E502" s="55"/>
      <c r="F502" s="55"/>
      <c r="K502" s="55"/>
      <c r="L502" s="55"/>
    </row>
    <row r="503">
      <c r="B503" s="28"/>
      <c r="C503" s="28"/>
      <c r="E503" s="55"/>
      <c r="F503" s="55"/>
      <c r="K503" s="55"/>
      <c r="L503" s="55"/>
    </row>
    <row r="504">
      <c r="B504" s="28"/>
      <c r="C504" s="28"/>
      <c r="E504" s="55"/>
      <c r="F504" s="55"/>
      <c r="K504" s="55"/>
      <c r="L504" s="55"/>
    </row>
    <row r="505">
      <c r="B505" s="28"/>
      <c r="C505" s="28"/>
      <c r="E505" s="55"/>
      <c r="F505" s="55"/>
      <c r="K505" s="55"/>
      <c r="L505" s="55"/>
    </row>
    <row r="506">
      <c r="B506" s="28"/>
      <c r="C506" s="28"/>
      <c r="E506" s="55"/>
      <c r="F506" s="55"/>
      <c r="K506" s="55"/>
      <c r="L506" s="55"/>
    </row>
    <row r="507">
      <c r="B507" s="28"/>
      <c r="C507" s="28"/>
      <c r="E507" s="55"/>
      <c r="F507" s="55"/>
      <c r="K507" s="55"/>
      <c r="L507" s="55"/>
    </row>
    <row r="508">
      <c r="B508" s="28"/>
      <c r="C508" s="28"/>
      <c r="E508" s="55"/>
      <c r="F508" s="55"/>
      <c r="K508" s="55"/>
      <c r="L508" s="55"/>
    </row>
    <row r="509">
      <c r="B509" s="28"/>
      <c r="C509" s="28"/>
      <c r="E509" s="55"/>
      <c r="F509" s="55"/>
      <c r="K509" s="55"/>
      <c r="L509" s="55"/>
    </row>
    <row r="510">
      <c r="B510" s="28"/>
      <c r="C510" s="28"/>
      <c r="E510" s="55"/>
      <c r="F510" s="55"/>
      <c r="K510" s="55"/>
      <c r="L510" s="55"/>
    </row>
    <row r="511">
      <c r="B511" s="28"/>
      <c r="C511" s="28"/>
      <c r="E511" s="55"/>
      <c r="F511" s="55"/>
      <c r="K511" s="55"/>
      <c r="L511" s="55"/>
    </row>
    <row r="512">
      <c r="B512" s="28"/>
      <c r="C512" s="28"/>
      <c r="E512" s="55"/>
      <c r="F512" s="55"/>
      <c r="K512" s="55"/>
      <c r="L512" s="55"/>
    </row>
    <row r="513">
      <c r="B513" s="28"/>
      <c r="C513" s="28"/>
      <c r="E513" s="55"/>
      <c r="F513" s="55"/>
      <c r="K513" s="55"/>
      <c r="L513" s="55"/>
    </row>
    <row r="514">
      <c r="B514" s="28"/>
      <c r="C514" s="28"/>
      <c r="E514" s="55"/>
      <c r="F514" s="55"/>
      <c r="K514" s="55"/>
      <c r="L514" s="55"/>
    </row>
    <row r="515">
      <c r="B515" s="28"/>
      <c r="C515" s="28"/>
      <c r="E515" s="55"/>
      <c r="F515" s="55"/>
      <c r="K515" s="55"/>
      <c r="L515" s="55"/>
    </row>
    <row r="516">
      <c r="B516" s="28"/>
      <c r="C516" s="28"/>
      <c r="E516" s="55"/>
      <c r="F516" s="55"/>
      <c r="K516" s="55"/>
      <c r="L516" s="55"/>
    </row>
    <row r="517">
      <c r="B517" s="28"/>
      <c r="C517" s="28"/>
      <c r="E517" s="55"/>
      <c r="F517" s="55"/>
      <c r="K517" s="55"/>
      <c r="L517" s="55"/>
    </row>
    <row r="518">
      <c r="B518" s="28"/>
      <c r="C518" s="28"/>
      <c r="E518" s="55"/>
      <c r="F518" s="55"/>
      <c r="K518" s="55"/>
      <c r="L518" s="55"/>
    </row>
    <row r="519">
      <c r="B519" s="28"/>
      <c r="C519" s="28"/>
      <c r="E519" s="55"/>
      <c r="F519" s="55"/>
      <c r="K519" s="55"/>
      <c r="L519" s="55"/>
    </row>
    <row r="520">
      <c r="B520" s="28"/>
      <c r="C520" s="28"/>
      <c r="E520" s="55"/>
      <c r="F520" s="55"/>
      <c r="K520" s="55"/>
      <c r="L520" s="55"/>
    </row>
    <row r="521">
      <c r="B521" s="28"/>
      <c r="C521" s="28"/>
      <c r="E521" s="55"/>
      <c r="F521" s="55"/>
      <c r="K521" s="55"/>
      <c r="L521" s="55"/>
    </row>
    <row r="522">
      <c r="B522" s="28"/>
      <c r="C522" s="28"/>
      <c r="E522" s="55"/>
      <c r="F522" s="55"/>
      <c r="K522" s="55"/>
      <c r="L522" s="55"/>
    </row>
    <row r="523">
      <c r="B523" s="28"/>
      <c r="C523" s="28"/>
      <c r="E523" s="55"/>
      <c r="F523" s="55"/>
      <c r="K523" s="55"/>
      <c r="L523" s="55"/>
    </row>
    <row r="524">
      <c r="B524" s="28"/>
      <c r="C524" s="28"/>
      <c r="E524" s="55"/>
      <c r="F524" s="55"/>
      <c r="K524" s="55"/>
      <c r="L524" s="55"/>
    </row>
    <row r="525">
      <c r="B525" s="28"/>
      <c r="C525" s="28"/>
      <c r="E525" s="55"/>
      <c r="F525" s="55"/>
      <c r="K525" s="55"/>
      <c r="L525" s="55"/>
    </row>
    <row r="526">
      <c r="B526" s="28"/>
      <c r="C526" s="28"/>
      <c r="E526" s="55"/>
      <c r="F526" s="55"/>
      <c r="K526" s="55"/>
      <c r="L526" s="55"/>
    </row>
    <row r="527">
      <c r="B527" s="28"/>
      <c r="C527" s="28"/>
      <c r="E527" s="55"/>
      <c r="F527" s="55"/>
      <c r="K527" s="55"/>
      <c r="L527" s="55"/>
    </row>
    <row r="528">
      <c r="B528" s="28"/>
      <c r="C528" s="28"/>
      <c r="E528" s="55"/>
      <c r="F528" s="55"/>
      <c r="K528" s="55"/>
      <c r="L528" s="55"/>
    </row>
    <row r="529">
      <c r="B529" s="28"/>
      <c r="C529" s="28"/>
      <c r="E529" s="55"/>
      <c r="F529" s="55"/>
      <c r="K529" s="55"/>
      <c r="L529" s="55"/>
    </row>
    <row r="530">
      <c r="B530" s="28"/>
      <c r="C530" s="28"/>
      <c r="E530" s="55"/>
      <c r="F530" s="55"/>
      <c r="K530" s="55"/>
      <c r="L530" s="55"/>
    </row>
    <row r="531">
      <c r="B531" s="28"/>
      <c r="C531" s="28"/>
      <c r="E531" s="55"/>
      <c r="F531" s="55"/>
      <c r="K531" s="55"/>
      <c r="L531" s="55"/>
    </row>
    <row r="532">
      <c r="B532" s="28"/>
      <c r="C532" s="28"/>
      <c r="E532" s="55"/>
      <c r="F532" s="55"/>
      <c r="K532" s="55"/>
      <c r="L532" s="55"/>
    </row>
    <row r="533">
      <c r="B533" s="28"/>
      <c r="C533" s="28"/>
      <c r="E533" s="55"/>
      <c r="F533" s="55"/>
      <c r="K533" s="55"/>
      <c r="L533" s="55"/>
    </row>
    <row r="534">
      <c r="B534" s="28"/>
      <c r="C534" s="28"/>
      <c r="E534" s="55"/>
      <c r="F534" s="55"/>
      <c r="K534" s="55"/>
      <c r="L534" s="55"/>
    </row>
    <row r="535">
      <c r="B535" s="28"/>
      <c r="C535" s="28"/>
      <c r="E535" s="55"/>
      <c r="F535" s="55"/>
      <c r="K535" s="55"/>
      <c r="L535" s="55"/>
    </row>
    <row r="536">
      <c r="B536" s="28"/>
      <c r="C536" s="28"/>
      <c r="E536" s="55"/>
      <c r="F536" s="55"/>
      <c r="K536" s="55"/>
      <c r="L536" s="55"/>
    </row>
    <row r="537">
      <c r="B537" s="28"/>
      <c r="C537" s="28"/>
      <c r="E537" s="55"/>
      <c r="F537" s="55"/>
      <c r="K537" s="55"/>
      <c r="L537" s="55"/>
    </row>
    <row r="538">
      <c r="B538" s="28"/>
      <c r="C538" s="28"/>
      <c r="E538" s="55"/>
      <c r="F538" s="55"/>
      <c r="K538" s="55"/>
      <c r="L538" s="55"/>
    </row>
    <row r="539">
      <c r="B539" s="28"/>
      <c r="C539" s="28"/>
      <c r="E539" s="55"/>
      <c r="F539" s="55"/>
      <c r="K539" s="55"/>
      <c r="L539" s="55"/>
    </row>
    <row r="540">
      <c r="B540" s="28"/>
      <c r="C540" s="28"/>
      <c r="E540" s="55"/>
      <c r="F540" s="55"/>
      <c r="K540" s="55"/>
      <c r="L540" s="55"/>
    </row>
    <row r="541">
      <c r="B541" s="28"/>
      <c r="C541" s="28"/>
      <c r="E541" s="55"/>
      <c r="F541" s="55"/>
      <c r="K541" s="55"/>
      <c r="L541" s="55"/>
    </row>
    <row r="542">
      <c r="B542" s="28"/>
      <c r="C542" s="28"/>
      <c r="E542" s="55"/>
      <c r="F542" s="55"/>
      <c r="K542" s="55"/>
      <c r="L542" s="55"/>
    </row>
    <row r="543">
      <c r="B543" s="28"/>
      <c r="C543" s="28"/>
      <c r="E543" s="55"/>
      <c r="F543" s="55"/>
      <c r="K543" s="55"/>
      <c r="L543" s="55"/>
    </row>
    <row r="544">
      <c r="B544" s="28"/>
      <c r="C544" s="28"/>
      <c r="E544" s="55"/>
      <c r="F544" s="55"/>
      <c r="K544" s="55"/>
      <c r="L544" s="55"/>
    </row>
    <row r="545">
      <c r="B545" s="28"/>
      <c r="C545" s="28"/>
      <c r="E545" s="55"/>
      <c r="F545" s="55"/>
      <c r="K545" s="55"/>
      <c r="L545" s="55"/>
    </row>
    <row r="546">
      <c r="B546" s="28"/>
      <c r="C546" s="28"/>
      <c r="E546" s="55"/>
      <c r="F546" s="55"/>
      <c r="K546" s="55"/>
      <c r="L546" s="55"/>
    </row>
    <row r="547">
      <c r="B547" s="28"/>
      <c r="C547" s="28"/>
      <c r="E547" s="55"/>
      <c r="F547" s="55"/>
      <c r="K547" s="55"/>
      <c r="L547" s="55"/>
    </row>
    <row r="548">
      <c r="B548" s="28"/>
      <c r="C548" s="28"/>
      <c r="E548" s="55"/>
      <c r="F548" s="55"/>
      <c r="K548" s="55"/>
      <c r="L548" s="55"/>
    </row>
    <row r="549">
      <c r="B549" s="28"/>
      <c r="C549" s="28"/>
      <c r="E549" s="55"/>
      <c r="F549" s="55"/>
      <c r="K549" s="55"/>
      <c r="L549" s="55"/>
    </row>
    <row r="550">
      <c r="B550" s="28"/>
      <c r="C550" s="28"/>
      <c r="E550" s="55"/>
      <c r="F550" s="55"/>
      <c r="K550" s="55"/>
      <c r="L550" s="55"/>
    </row>
    <row r="551">
      <c r="B551" s="28"/>
      <c r="C551" s="28"/>
      <c r="E551" s="55"/>
      <c r="F551" s="55"/>
      <c r="K551" s="55"/>
      <c r="L551" s="55"/>
    </row>
    <row r="552">
      <c r="B552" s="28"/>
      <c r="C552" s="28"/>
      <c r="E552" s="55"/>
      <c r="F552" s="55"/>
      <c r="K552" s="55"/>
      <c r="L552" s="55"/>
    </row>
    <row r="553">
      <c r="B553" s="28"/>
      <c r="C553" s="28"/>
      <c r="E553" s="55"/>
      <c r="F553" s="55"/>
      <c r="K553" s="55"/>
      <c r="L553" s="55"/>
    </row>
    <row r="554">
      <c r="B554" s="28"/>
      <c r="C554" s="28"/>
      <c r="E554" s="55"/>
      <c r="F554" s="55"/>
      <c r="K554" s="55"/>
      <c r="L554" s="55"/>
    </row>
    <row r="555">
      <c r="B555" s="28"/>
      <c r="C555" s="28"/>
      <c r="E555" s="55"/>
      <c r="F555" s="55"/>
      <c r="K555" s="55"/>
      <c r="L555" s="55"/>
    </row>
    <row r="556">
      <c r="B556" s="28"/>
      <c r="C556" s="28"/>
      <c r="E556" s="55"/>
      <c r="F556" s="55"/>
      <c r="K556" s="55"/>
      <c r="L556" s="55"/>
    </row>
    <row r="557">
      <c r="B557" s="28"/>
      <c r="C557" s="28"/>
      <c r="E557" s="55"/>
      <c r="F557" s="55"/>
      <c r="K557" s="55"/>
      <c r="L557" s="55"/>
    </row>
    <row r="558">
      <c r="B558" s="28"/>
      <c r="C558" s="28"/>
      <c r="E558" s="55"/>
      <c r="F558" s="55"/>
      <c r="K558" s="55"/>
      <c r="L558" s="55"/>
    </row>
    <row r="559">
      <c r="B559" s="28"/>
      <c r="C559" s="28"/>
      <c r="E559" s="55"/>
      <c r="F559" s="55"/>
      <c r="K559" s="55"/>
      <c r="L559" s="55"/>
    </row>
    <row r="560">
      <c r="B560" s="28"/>
      <c r="C560" s="28"/>
      <c r="E560" s="55"/>
      <c r="F560" s="55"/>
      <c r="K560" s="55"/>
      <c r="L560" s="55"/>
    </row>
    <row r="561">
      <c r="B561" s="28"/>
      <c r="C561" s="28"/>
      <c r="E561" s="55"/>
      <c r="F561" s="55"/>
      <c r="K561" s="55"/>
      <c r="L561" s="55"/>
    </row>
    <row r="562">
      <c r="B562" s="28"/>
      <c r="C562" s="28"/>
      <c r="E562" s="55"/>
      <c r="F562" s="55"/>
      <c r="K562" s="55"/>
      <c r="L562" s="55"/>
    </row>
    <row r="563">
      <c r="B563" s="28"/>
      <c r="C563" s="28"/>
      <c r="E563" s="55"/>
      <c r="F563" s="55"/>
      <c r="K563" s="55"/>
      <c r="L563" s="55"/>
    </row>
    <row r="564">
      <c r="B564" s="28"/>
      <c r="C564" s="28"/>
      <c r="E564" s="55"/>
      <c r="F564" s="55"/>
      <c r="K564" s="55"/>
      <c r="L564" s="55"/>
    </row>
    <row r="565">
      <c r="B565" s="28"/>
      <c r="C565" s="28"/>
      <c r="E565" s="55"/>
      <c r="F565" s="55"/>
      <c r="K565" s="55"/>
      <c r="L565" s="55"/>
    </row>
    <row r="566">
      <c r="B566" s="28"/>
      <c r="C566" s="28"/>
      <c r="E566" s="55"/>
      <c r="F566" s="55"/>
      <c r="K566" s="55"/>
      <c r="L566" s="55"/>
    </row>
    <row r="567">
      <c r="B567" s="28"/>
      <c r="C567" s="28"/>
      <c r="E567" s="55"/>
      <c r="F567" s="55"/>
      <c r="K567" s="55"/>
      <c r="L567" s="55"/>
    </row>
    <row r="568">
      <c r="B568" s="28"/>
      <c r="C568" s="28"/>
      <c r="E568" s="55"/>
      <c r="F568" s="55"/>
      <c r="K568" s="55"/>
      <c r="L568" s="55"/>
    </row>
    <row r="569">
      <c r="B569" s="28"/>
      <c r="C569" s="28"/>
      <c r="E569" s="55"/>
      <c r="F569" s="55"/>
      <c r="K569" s="55"/>
      <c r="L569" s="55"/>
    </row>
    <row r="570">
      <c r="B570" s="28"/>
      <c r="C570" s="28"/>
      <c r="E570" s="55"/>
      <c r="F570" s="55"/>
      <c r="K570" s="55"/>
      <c r="L570" s="55"/>
    </row>
    <row r="571">
      <c r="B571" s="28"/>
      <c r="C571" s="28"/>
      <c r="E571" s="55"/>
      <c r="F571" s="55"/>
      <c r="K571" s="55"/>
      <c r="L571" s="55"/>
    </row>
    <row r="572">
      <c r="B572" s="28"/>
      <c r="C572" s="28"/>
      <c r="E572" s="55"/>
      <c r="F572" s="55"/>
      <c r="K572" s="55"/>
      <c r="L572" s="55"/>
    </row>
    <row r="573">
      <c r="B573" s="28"/>
      <c r="C573" s="28"/>
      <c r="E573" s="55"/>
      <c r="F573" s="55"/>
      <c r="K573" s="55"/>
      <c r="L573" s="55"/>
    </row>
    <row r="574">
      <c r="B574" s="28"/>
      <c r="C574" s="28"/>
      <c r="E574" s="55"/>
      <c r="F574" s="55"/>
      <c r="K574" s="55"/>
      <c r="L574" s="55"/>
    </row>
    <row r="575">
      <c r="B575" s="28"/>
      <c r="C575" s="28"/>
      <c r="E575" s="55"/>
      <c r="F575" s="55"/>
      <c r="K575" s="55"/>
      <c r="L575" s="55"/>
    </row>
    <row r="576">
      <c r="B576" s="28"/>
      <c r="C576" s="28"/>
      <c r="E576" s="55"/>
      <c r="F576" s="55"/>
      <c r="K576" s="55"/>
      <c r="L576" s="55"/>
    </row>
    <row r="577">
      <c r="B577" s="28"/>
      <c r="C577" s="28"/>
      <c r="E577" s="55"/>
      <c r="F577" s="55"/>
      <c r="K577" s="55"/>
      <c r="L577" s="55"/>
    </row>
    <row r="578">
      <c r="B578" s="28"/>
      <c r="C578" s="28"/>
      <c r="E578" s="55"/>
      <c r="F578" s="55"/>
      <c r="K578" s="55"/>
      <c r="L578" s="55"/>
    </row>
    <row r="579">
      <c r="B579" s="28"/>
      <c r="C579" s="28"/>
      <c r="E579" s="55"/>
      <c r="F579" s="55"/>
      <c r="K579" s="55"/>
      <c r="L579" s="55"/>
    </row>
    <row r="580">
      <c r="B580" s="28"/>
      <c r="C580" s="28"/>
      <c r="E580" s="55"/>
      <c r="F580" s="55"/>
      <c r="K580" s="55"/>
      <c r="L580" s="55"/>
    </row>
    <row r="581">
      <c r="B581" s="28"/>
      <c r="C581" s="28"/>
      <c r="E581" s="55"/>
      <c r="F581" s="55"/>
      <c r="K581" s="55"/>
      <c r="L581" s="55"/>
    </row>
    <row r="582">
      <c r="B582" s="28"/>
      <c r="C582" s="28"/>
      <c r="E582" s="55"/>
      <c r="F582" s="55"/>
      <c r="K582" s="55"/>
      <c r="L582" s="55"/>
    </row>
    <row r="583">
      <c r="B583" s="28"/>
      <c r="C583" s="28"/>
      <c r="E583" s="55"/>
      <c r="F583" s="55"/>
      <c r="K583" s="55"/>
      <c r="L583" s="55"/>
    </row>
    <row r="584">
      <c r="B584" s="28"/>
      <c r="C584" s="28"/>
      <c r="E584" s="55"/>
      <c r="F584" s="55"/>
      <c r="K584" s="55"/>
      <c r="L584" s="55"/>
    </row>
    <row r="585">
      <c r="B585" s="28"/>
      <c r="C585" s="28"/>
      <c r="E585" s="55"/>
      <c r="F585" s="55"/>
      <c r="K585" s="55"/>
      <c r="L585" s="55"/>
    </row>
    <row r="586">
      <c r="B586" s="28"/>
      <c r="C586" s="28"/>
      <c r="E586" s="55"/>
      <c r="F586" s="55"/>
      <c r="K586" s="55"/>
      <c r="L586" s="55"/>
    </row>
    <row r="587">
      <c r="B587" s="28"/>
      <c r="C587" s="28"/>
      <c r="E587" s="55"/>
      <c r="F587" s="55"/>
      <c r="K587" s="55"/>
      <c r="L587" s="55"/>
    </row>
    <row r="588">
      <c r="B588" s="28"/>
      <c r="C588" s="28"/>
      <c r="E588" s="55"/>
      <c r="F588" s="55"/>
      <c r="K588" s="55"/>
      <c r="L588" s="55"/>
    </row>
    <row r="589">
      <c r="B589" s="28"/>
      <c r="C589" s="28"/>
      <c r="E589" s="55"/>
      <c r="F589" s="55"/>
      <c r="K589" s="55"/>
      <c r="L589" s="55"/>
    </row>
    <row r="590">
      <c r="B590" s="28"/>
      <c r="C590" s="28"/>
      <c r="E590" s="55"/>
      <c r="F590" s="55"/>
      <c r="K590" s="55"/>
      <c r="L590" s="55"/>
    </row>
    <row r="591">
      <c r="B591" s="28"/>
      <c r="C591" s="28"/>
      <c r="E591" s="55"/>
      <c r="F591" s="55"/>
      <c r="K591" s="55"/>
      <c r="L591" s="55"/>
    </row>
    <row r="592">
      <c r="B592" s="28"/>
      <c r="C592" s="28"/>
      <c r="E592" s="55"/>
      <c r="F592" s="55"/>
      <c r="K592" s="55"/>
      <c r="L592" s="55"/>
    </row>
    <row r="593">
      <c r="B593" s="28"/>
      <c r="C593" s="28"/>
      <c r="E593" s="55"/>
      <c r="F593" s="55"/>
      <c r="K593" s="55"/>
      <c r="L593" s="55"/>
    </row>
    <row r="594">
      <c r="B594" s="28"/>
      <c r="C594" s="28"/>
      <c r="E594" s="55"/>
      <c r="F594" s="55"/>
      <c r="K594" s="55"/>
      <c r="L594" s="55"/>
    </row>
    <row r="595">
      <c r="B595" s="28"/>
      <c r="C595" s="28"/>
      <c r="E595" s="55"/>
      <c r="F595" s="55"/>
      <c r="K595" s="55"/>
      <c r="L595" s="55"/>
    </row>
    <row r="596">
      <c r="B596" s="28"/>
      <c r="C596" s="28"/>
      <c r="E596" s="55"/>
      <c r="F596" s="55"/>
      <c r="K596" s="55"/>
      <c r="L596" s="55"/>
    </row>
    <row r="597">
      <c r="B597" s="28"/>
      <c r="C597" s="28"/>
      <c r="E597" s="55"/>
      <c r="F597" s="55"/>
      <c r="K597" s="55"/>
      <c r="L597" s="55"/>
    </row>
    <row r="598">
      <c r="B598" s="28"/>
      <c r="C598" s="28"/>
      <c r="E598" s="55"/>
      <c r="F598" s="55"/>
      <c r="K598" s="55"/>
      <c r="L598" s="55"/>
    </row>
    <row r="599">
      <c r="B599" s="28"/>
      <c r="C599" s="28"/>
      <c r="E599" s="55"/>
      <c r="F599" s="55"/>
      <c r="K599" s="55"/>
      <c r="L599" s="55"/>
    </row>
    <row r="600">
      <c r="B600" s="28"/>
      <c r="C600" s="28"/>
      <c r="E600" s="55"/>
      <c r="F600" s="55"/>
      <c r="K600" s="55"/>
      <c r="L600" s="55"/>
    </row>
    <row r="601">
      <c r="B601" s="28"/>
      <c r="C601" s="28"/>
      <c r="E601" s="55"/>
      <c r="F601" s="55"/>
      <c r="K601" s="55"/>
      <c r="L601" s="55"/>
    </row>
    <row r="602">
      <c r="B602" s="28"/>
      <c r="C602" s="28"/>
      <c r="E602" s="55"/>
      <c r="F602" s="55"/>
      <c r="K602" s="55"/>
      <c r="L602" s="55"/>
    </row>
    <row r="603">
      <c r="B603" s="28"/>
      <c r="C603" s="28"/>
      <c r="E603" s="55"/>
      <c r="F603" s="55"/>
      <c r="K603" s="55"/>
      <c r="L603" s="55"/>
    </row>
    <row r="604">
      <c r="B604" s="28"/>
      <c r="C604" s="28"/>
      <c r="E604" s="55"/>
      <c r="F604" s="55"/>
      <c r="K604" s="55"/>
      <c r="L604" s="55"/>
    </row>
    <row r="605">
      <c r="B605" s="28"/>
      <c r="C605" s="28"/>
      <c r="E605" s="55"/>
      <c r="F605" s="55"/>
      <c r="K605" s="55"/>
      <c r="L605" s="55"/>
    </row>
    <row r="606">
      <c r="B606" s="28"/>
      <c r="C606" s="28"/>
      <c r="E606" s="55"/>
      <c r="F606" s="55"/>
      <c r="K606" s="55"/>
      <c r="L606" s="55"/>
    </row>
    <row r="607">
      <c r="B607" s="28"/>
      <c r="C607" s="28"/>
      <c r="E607" s="55"/>
      <c r="F607" s="55"/>
      <c r="K607" s="55"/>
      <c r="L607" s="55"/>
    </row>
    <row r="608">
      <c r="B608" s="28"/>
      <c r="C608" s="28"/>
      <c r="E608" s="55"/>
      <c r="F608" s="55"/>
      <c r="K608" s="55"/>
      <c r="L608" s="55"/>
    </row>
    <row r="609">
      <c r="B609" s="28"/>
      <c r="C609" s="28"/>
      <c r="E609" s="55"/>
      <c r="F609" s="55"/>
      <c r="K609" s="55"/>
      <c r="L609" s="55"/>
    </row>
    <row r="610">
      <c r="B610" s="28"/>
      <c r="C610" s="28"/>
      <c r="E610" s="55"/>
      <c r="F610" s="55"/>
      <c r="K610" s="55"/>
      <c r="L610" s="55"/>
    </row>
    <row r="611">
      <c r="B611" s="28"/>
      <c r="C611" s="28"/>
      <c r="E611" s="55"/>
      <c r="F611" s="55"/>
      <c r="K611" s="55"/>
      <c r="L611" s="55"/>
    </row>
    <row r="612">
      <c r="B612" s="28"/>
      <c r="C612" s="28"/>
      <c r="E612" s="55"/>
      <c r="F612" s="55"/>
      <c r="K612" s="55"/>
      <c r="L612" s="55"/>
    </row>
    <row r="613">
      <c r="B613" s="28"/>
      <c r="C613" s="28"/>
      <c r="E613" s="55"/>
      <c r="F613" s="55"/>
      <c r="K613" s="55"/>
      <c r="L613" s="55"/>
    </row>
    <row r="614">
      <c r="B614" s="28"/>
      <c r="C614" s="28"/>
      <c r="E614" s="55"/>
      <c r="F614" s="55"/>
      <c r="K614" s="55"/>
      <c r="L614" s="55"/>
    </row>
    <row r="615">
      <c r="B615" s="28"/>
      <c r="C615" s="28"/>
      <c r="E615" s="55"/>
      <c r="F615" s="55"/>
      <c r="K615" s="55"/>
      <c r="L615" s="55"/>
    </row>
    <row r="616">
      <c r="B616" s="28"/>
      <c r="C616" s="28"/>
      <c r="E616" s="55"/>
      <c r="F616" s="55"/>
      <c r="K616" s="55"/>
      <c r="L616" s="55"/>
    </row>
    <row r="617">
      <c r="B617" s="28"/>
      <c r="C617" s="28"/>
      <c r="E617" s="55"/>
      <c r="F617" s="55"/>
      <c r="K617" s="55"/>
      <c r="L617" s="55"/>
    </row>
    <row r="618">
      <c r="B618" s="28"/>
      <c r="C618" s="28"/>
      <c r="E618" s="55"/>
      <c r="F618" s="55"/>
      <c r="K618" s="55"/>
      <c r="L618" s="55"/>
    </row>
    <row r="619">
      <c r="B619" s="28"/>
      <c r="C619" s="28"/>
      <c r="E619" s="55"/>
      <c r="F619" s="55"/>
      <c r="K619" s="55"/>
      <c r="L619" s="55"/>
    </row>
    <row r="620">
      <c r="B620" s="28"/>
      <c r="C620" s="28"/>
      <c r="E620" s="55"/>
      <c r="F620" s="55"/>
      <c r="K620" s="55"/>
      <c r="L620" s="55"/>
    </row>
    <row r="621">
      <c r="B621" s="28"/>
      <c r="C621" s="28"/>
      <c r="E621" s="55"/>
      <c r="F621" s="55"/>
      <c r="K621" s="55"/>
      <c r="L621" s="55"/>
    </row>
    <row r="622">
      <c r="B622" s="28"/>
      <c r="C622" s="28"/>
      <c r="E622" s="55"/>
      <c r="F622" s="55"/>
      <c r="K622" s="55"/>
      <c r="L622" s="55"/>
    </row>
    <row r="623">
      <c r="B623" s="28"/>
      <c r="C623" s="28"/>
      <c r="E623" s="55"/>
      <c r="F623" s="55"/>
      <c r="K623" s="55"/>
      <c r="L623" s="55"/>
    </row>
    <row r="624">
      <c r="B624" s="28"/>
      <c r="C624" s="28"/>
      <c r="E624" s="55"/>
      <c r="F624" s="55"/>
      <c r="K624" s="55"/>
      <c r="L624" s="55"/>
    </row>
    <row r="625">
      <c r="B625" s="28"/>
      <c r="C625" s="28"/>
      <c r="E625" s="55"/>
      <c r="F625" s="55"/>
      <c r="K625" s="55"/>
      <c r="L625" s="55"/>
    </row>
    <row r="626">
      <c r="B626" s="28"/>
      <c r="C626" s="28"/>
      <c r="E626" s="55"/>
      <c r="F626" s="55"/>
      <c r="K626" s="55"/>
      <c r="L626" s="55"/>
    </row>
    <row r="627">
      <c r="B627" s="28"/>
      <c r="C627" s="28"/>
      <c r="E627" s="55"/>
      <c r="F627" s="55"/>
      <c r="K627" s="55"/>
      <c r="L627" s="55"/>
    </row>
    <row r="628">
      <c r="B628" s="28"/>
      <c r="C628" s="28"/>
      <c r="E628" s="55"/>
      <c r="F628" s="55"/>
      <c r="K628" s="55"/>
      <c r="L628" s="55"/>
    </row>
    <row r="629">
      <c r="B629" s="28"/>
      <c r="C629" s="28"/>
      <c r="E629" s="55"/>
      <c r="F629" s="55"/>
      <c r="K629" s="55"/>
      <c r="L629" s="55"/>
    </row>
    <row r="630">
      <c r="B630" s="28"/>
      <c r="C630" s="28"/>
      <c r="E630" s="55"/>
      <c r="F630" s="55"/>
      <c r="K630" s="55"/>
      <c r="L630" s="55"/>
    </row>
    <row r="631">
      <c r="B631" s="28"/>
      <c r="C631" s="28"/>
      <c r="E631" s="55"/>
      <c r="F631" s="55"/>
      <c r="K631" s="55"/>
      <c r="L631" s="55"/>
    </row>
    <row r="632">
      <c r="B632" s="28"/>
      <c r="C632" s="28"/>
      <c r="E632" s="55"/>
      <c r="F632" s="55"/>
      <c r="K632" s="55"/>
      <c r="L632" s="55"/>
    </row>
    <row r="633">
      <c r="B633" s="28"/>
      <c r="C633" s="28"/>
      <c r="E633" s="55"/>
      <c r="F633" s="55"/>
      <c r="K633" s="55"/>
      <c r="L633" s="55"/>
    </row>
    <row r="634">
      <c r="B634" s="28"/>
      <c r="C634" s="28"/>
      <c r="E634" s="55"/>
      <c r="F634" s="55"/>
      <c r="K634" s="55"/>
      <c r="L634" s="55"/>
    </row>
    <row r="635">
      <c r="B635" s="28"/>
      <c r="C635" s="28"/>
      <c r="E635" s="55"/>
      <c r="F635" s="55"/>
      <c r="K635" s="55"/>
      <c r="L635" s="55"/>
    </row>
    <row r="636">
      <c r="B636" s="28"/>
      <c r="C636" s="28"/>
      <c r="E636" s="55"/>
      <c r="F636" s="55"/>
      <c r="K636" s="55"/>
      <c r="L636" s="55"/>
    </row>
    <row r="637">
      <c r="B637" s="28"/>
      <c r="C637" s="28"/>
      <c r="E637" s="55"/>
      <c r="F637" s="55"/>
      <c r="K637" s="55"/>
      <c r="L637" s="55"/>
    </row>
    <row r="638">
      <c r="B638" s="28"/>
      <c r="C638" s="28"/>
      <c r="E638" s="55"/>
      <c r="F638" s="55"/>
      <c r="K638" s="55"/>
      <c r="L638" s="55"/>
    </row>
    <row r="639">
      <c r="B639" s="28"/>
      <c r="C639" s="28"/>
      <c r="E639" s="55"/>
      <c r="F639" s="55"/>
      <c r="K639" s="55"/>
      <c r="L639" s="55"/>
    </row>
    <row r="640">
      <c r="B640" s="28"/>
      <c r="C640" s="28"/>
      <c r="E640" s="55"/>
      <c r="F640" s="55"/>
      <c r="K640" s="55"/>
      <c r="L640" s="55"/>
    </row>
    <row r="641">
      <c r="B641" s="28"/>
      <c r="C641" s="28"/>
      <c r="E641" s="55"/>
      <c r="F641" s="55"/>
      <c r="K641" s="55"/>
      <c r="L641" s="55"/>
    </row>
    <row r="642">
      <c r="B642" s="28"/>
      <c r="C642" s="28"/>
      <c r="E642" s="55"/>
      <c r="F642" s="55"/>
      <c r="K642" s="55"/>
      <c r="L642" s="55"/>
    </row>
    <row r="643">
      <c r="B643" s="28"/>
      <c r="C643" s="28"/>
      <c r="E643" s="55"/>
      <c r="F643" s="55"/>
      <c r="K643" s="55"/>
      <c r="L643" s="55"/>
    </row>
    <row r="644">
      <c r="B644" s="28"/>
      <c r="C644" s="28"/>
      <c r="E644" s="55"/>
      <c r="F644" s="55"/>
      <c r="K644" s="55"/>
      <c r="L644" s="55"/>
    </row>
    <row r="645">
      <c r="B645" s="28"/>
      <c r="C645" s="28"/>
      <c r="E645" s="55"/>
      <c r="F645" s="55"/>
      <c r="K645" s="55"/>
      <c r="L645" s="55"/>
    </row>
    <row r="646">
      <c r="B646" s="28"/>
      <c r="C646" s="28"/>
      <c r="E646" s="55"/>
      <c r="F646" s="55"/>
      <c r="K646" s="55"/>
      <c r="L646" s="55"/>
    </row>
    <row r="647">
      <c r="B647" s="28"/>
      <c r="C647" s="28"/>
      <c r="E647" s="55"/>
      <c r="F647" s="55"/>
      <c r="K647" s="55"/>
      <c r="L647" s="55"/>
    </row>
    <row r="648">
      <c r="B648" s="28"/>
      <c r="C648" s="28"/>
      <c r="E648" s="55"/>
      <c r="F648" s="55"/>
      <c r="K648" s="55"/>
      <c r="L648" s="55"/>
    </row>
    <row r="649">
      <c r="B649" s="28"/>
      <c r="C649" s="28"/>
      <c r="E649" s="55"/>
      <c r="F649" s="55"/>
      <c r="K649" s="55"/>
      <c r="L649" s="55"/>
    </row>
    <row r="650">
      <c r="B650" s="28"/>
      <c r="C650" s="28"/>
      <c r="E650" s="55"/>
      <c r="F650" s="55"/>
      <c r="K650" s="55"/>
      <c r="L650" s="55"/>
    </row>
    <row r="651">
      <c r="B651" s="28"/>
      <c r="C651" s="28"/>
      <c r="E651" s="55"/>
      <c r="F651" s="55"/>
      <c r="K651" s="55"/>
      <c r="L651" s="55"/>
    </row>
    <row r="652">
      <c r="B652" s="28"/>
      <c r="C652" s="28"/>
      <c r="E652" s="55"/>
      <c r="F652" s="55"/>
      <c r="K652" s="55"/>
      <c r="L652" s="55"/>
    </row>
    <row r="653">
      <c r="B653" s="28"/>
      <c r="C653" s="28"/>
      <c r="E653" s="55"/>
      <c r="F653" s="55"/>
      <c r="K653" s="55"/>
      <c r="L653" s="55"/>
    </row>
    <row r="654">
      <c r="B654" s="28"/>
      <c r="C654" s="28"/>
      <c r="E654" s="55"/>
      <c r="F654" s="55"/>
      <c r="K654" s="55"/>
      <c r="L654" s="55"/>
    </row>
    <row r="655">
      <c r="B655" s="28"/>
      <c r="C655" s="28"/>
      <c r="E655" s="55"/>
      <c r="F655" s="55"/>
      <c r="K655" s="55"/>
      <c r="L655" s="55"/>
    </row>
    <row r="656">
      <c r="B656" s="28"/>
      <c r="C656" s="28"/>
      <c r="E656" s="55"/>
      <c r="F656" s="55"/>
      <c r="K656" s="55"/>
      <c r="L656" s="55"/>
    </row>
    <row r="657">
      <c r="B657" s="28"/>
      <c r="C657" s="28"/>
      <c r="E657" s="55"/>
      <c r="F657" s="55"/>
      <c r="K657" s="55"/>
      <c r="L657" s="55"/>
    </row>
    <row r="658">
      <c r="B658" s="28"/>
      <c r="C658" s="28"/>
      <c r="E658" s="55"/>
      <c r="F658" s="55"/>
      <c r="K658" s="55"/>
      <c r="L658" s="55"/>
    </row>
    <row r="659">
      <c r="B659" s="28"/>
      <c r="C659" s="28"/>
      <c r="E659" s="55"/>
      <c r="F659" s="55"/>
      <c r="K659" s="55"/>
      <c r="L659" s="55"/>
    </row>
    <row r="660">
      <c r="B660" s="28"/>
      <c r="C660" s="28"/>
      <c r="E660" s="55"/>
      <c r="F660" s="55"/>
      <c r="K660" s="55"/>
      <c r="L660" s="55"/>
    </row>
    <row r="661">
      <c r="B661" s="28"/>
      <c r="C661" s="28"/>
      <c r="E661" s="55"/>
      <c r="F661" s="55"/>
      <c r="K661" s="55"/>
      <c r="L661" s="55"/>
    </row>
    <row r="662">
      <c r="B662" s="28"/>
      <c r="C662" s="28"/>
      <c r="E662" s="55"/>
      <c r="F662" s="55"/>
      <c r="K662" s="55"/>
      <c r="L662" s="55"/>
    </row>
    <row r="663">
      <c r="B663" s="28"/>
      <c r="C663" s="28"/>
      <c r="E663" s="55"/>
      <c r="F663" s="55"/>
      <c r="K663" s="55"/>
      <c r="L663" s="55"/>
    </row>
    <row r="664">
      <c r="B664" s="28"/>
      <c r="C664" s="28"/>
      <c r="E664" s="55"/>
      <c r="F664" s="55"/>
      <c r="K664" s="55"/>
      <c r="L664" s="55"/>
    </row>
    <row r="665">
      <c r="B665" s="28"/>
      <c r="C665" s="28"/>
      <c r="E665" s="55"/>
      <c r="F665" s="55"/>
      <c r="K665" s="55"/>
      <c r="L665" s="55"/>
    </row>
    <row r="666">
      <c r="B666" s="28"/>
      <c r="C666" s="28"/>
      <c r="E666" s="55"/>
      <c r="F666" s="55"/>
      <c r="K666" s="55"/>
      <c r="L666" s="55"/>
    </row>
    <row r="667">
      <c r="B667" s="28"/>
      <c r="C667" s="28"/>
      <c r="E667" s="55"/>
      <c r="F667" s="55"/>
      <c r="K667" s="55"/>
      <c r="L667" s="55"/>
    </row>
    <row r="668">
      <c r="B668" s="28"/>
      <c r="C668" s="28"/>
      <c r="E668" s="55"/>
      <c r="F668" s="55"/>
      <c r="K668" s="55"/>
      <c r="L668" s="55"/>
    </row>
    <row r="669">
      <c r="B669" s="28"/>
      <c r="C669" s="28"/>
      <c r="E669" s="55"/>
      <c r="F669" s="55"/>
      <c r="K669" s="55"/>
      <c r="L669" s="55"/>
    </row>
    <row r="670">
      <c r="B670" s="28"/>
      <c r="C670" s="28"/>
      <c r="E670" s="55"/>
      <c r="F670" s="55"/>
      <c r="K670" s="55"/>
      <c r="L670" s="55"/>
    </row>
    <row r="671">
      <c r="B671" s="28"/>
      <c r="C671" s="28"/>
      <c r="E671" s="55"/>
      <c r="F671" s="55"/>
      <c r="K671" s="55"/>
      <c r="L671" s="55"/>
    </row>
    <row r="672">
      <c r="B672" s="28"/>
      <c r="C672" s="28"/>
      <c r="E672" s="55"/>
      <c r="F672" s="55"/>
      <c r="K672" s="55"/>
      <c r="L672" s="55"/>
    </row>
    <row r="673">
      <c r="B673" s="28"/>
      <c r="C673" s="28"/>
      <c r="E673" s="55"/>
      <c r="F673" s="55"/>
      <c r="K673" s="55"/>
      <c r="L673" s="55"/>
    </row>
    <row r="674">
      <c r="B674" s="28"/>
      <c r="C674" s="28"/>
      <c r="E674" s="55"/>
      <c r="F674" s="55"/>
      <c r="K674" s="55"/>
      <c r="L674" s="55"/>
    </row>
    <row r="675">
      <c r="B675" s="28"/>
      <c r="C675" s="28"/>
      <c r="E675" s="55"/>
      <c r="F675" s="55"/>
      <c r="K675" s="55"/>
      <c r="L675" s="55"/>
    </row>
    <row r="676">
      <c r="B676" s="28"/>
      <c r="C676" s="28"/>
      <c r="E676" s="55"/>
      <c r="F676" s="55"/>
      <c r="K676" s="55"/>
      <c r="L676" s="55"/>
    </row>
    <row r="677">
      <c r="B677" s="28"/>
      <c r="C677" s="28"/>
      <c r="E677" s="55"/>
      <c r="F677" s="55"/>
      <c r="K677" s="55"/>
      <c r="L677" s="55"/>
    </row>
    <row r="678">
      <c r="B678" s="28"/>
      <c r="C678" s="28"/>
      <c r="E678" s="55"/>
      <c r="F678" s="55"/>
      <c r="K678" s="55"/>
      <c r="L678" s="55"/>
    </row>
    <row r="679">
      <c r="B679" s="28"/>
      <c r="C679" s="28"/>
      <c r="E679" s="55"/>
      <c r="F679" s="55"/>
      <c r="K679" s="55"/>
      <c r="L679" s="55"/>
    </row>
    <row r="680">
      <c r="B680" s="28"/>
      <c r="C680" s="28"/>
      <c r="E680" s="55"/>
      <c r="F680" s="55"/>
      <c r="K680" s="55"/>
      <c r="L680" s="55"/>
    </row>
    <row r="681">
      <c r="B681" s="28"/>
      <c r="C681" s="28"/>
      <c r="E681" s="55"/>
      <c r="F681" s="55"/>
      <c r="K681" s="55"/>
      <c r="L681" s="55"/>
    </row>
    <row r="682">
      <c r="B682" s="28"/>
      <c r="C682" s="28"/>
      <c r="E682" s="55"/>
      <c r="F682" s="55"/>
      <c r="K682" s="55"/>
      <c r="L682" s="55"/>
    </row>
    <row r="683">
      <c r="B683" s="28"/>
      <c r="C683" s="28"/>
      <c r="E683" s="55"/>
      <c r="F683" s="55"/>
      <c r="K683" s="55"/>
      <c r="L683" s="55"/>
    </row>
    <row r="684">
      <c r="B684" s="28"/>
      <c r="C684" s="28"/>
      <c r="E684" s="55"/>
      <c r="F684" s="55"/>
      <c r="K684" s="55"/>
      <c r="L684" s="55"/>
    </row>
    <row r="685">
      <c r="B685" s="28"/>
      <c r="C685" s="28"/>
      <c r="E685" s="55"/>
      <c r="F685" s="55"/>
      <c r="K685" s="55"/>
      <c r="L685" s="55"/>
    </row>
    <row r="686">
      <c r="B686" s="28"/>
      <c r="C686" s="28"/>
      <c r="E686" s="55"/>
      <c r="F686" s="55"/>
      <c r="K686" s="55"/>
      <c r="L686" s="55"/>
    </row>
    <row r="687">
      <c r="B687" s="28"/>
      <c r="C687" s="28"/>
      <c r="E687" s="55"/>
      <c r="F687" s="55"/>
      <c r="K687" s="55"/>
      <c r="L687" s="55"/>
    </row>
    <row r="688">
      <c r="B688" s="28"/>
      <c r="C688" s="28"/>
      <c r="E688" s="55"/>
      <c r="F688" s="55"/>
      <c r="K688" s="55"/>
      <c r="L688" s="55"/>
    </row>
    <row r="689">
      <c r="B689" s="28"/>
      <c r="C689" s="28"/>
      <c r="E689" s="55"/>
      <c r="F689" s="55"/>
      <c r="K689" s="55"/>
      <c r="L689" s="55"/>
    </row>
    <row r="690">
      <c r="B690" s="28"/>
      <c r="C690" s="28"/>
      <c r="E690" s="55"/>
      <c r="F690" s="55"/>
      <c r="K690" s="55"/>
      <c r="L690" s="55"/>
    </row>
    <row r="691">
      <c r="B691" s="28"/>
      <c r="C691" s="28"/>
      <c r="E691" s="55"/>
      <c r="F691" s="55"/>
      <c r="K691" s="55"/>
      <c r="L691" s="55"/>
    </row>
    <row r="692">
      <c r="B692" s="28"/>
      <c r="C692" s="28"/>
      <c r="E692" s="55"/>
      <c r="F692" s="55"/>
      <c r="K692" s="55"/>
      <c r="L692" s="55"/>
    </row>
    <row r="693">
      <c r="B693" s="28"/>
      <c r="C693" s="28"/>
      <c r="E693" s="55"/>
      <c r="F693" s="55"/>
      <c r="K693" s="55"/>
      <c r="L693" s="55"/>
    </row>
    <row r="694">
      <c r="B694" s="28"/>
      <c r="C694" s="28"/>
      <c r="E694" s="55"/>
      <c r="F694" s="55"/>
      <c r="K694" s="55"/>
      <c r="L694" s="55"/>
    </row>
    <row r="695">
      <c r="B695" s="28"/>
      <c r="C695" s="28"/>
      <c r="E695" s="55"/>
      <c r="F695" s="55"/>
      <c r="K695" s="55"/>
      <c r="L695" s="55"/>
    </row>
    <row r="696">
      <c r="B696" s="28"/>
      <c r="C696" s="28"/>
      <c r="E696" s="55"/>
      <c r="F696" s="55"/>
      <c r="K696" s="55"/>
      <c r="L696" s="55"/>
    </row>
    <row r="697">
      <c r="B697" s="28"/>
      <c r="C697" s="28"/>
      <c r="E697" s="55"/>
      <c r="F697" s="55"/>
      <c r="K697" s="55"/>
      <c r="L697" s="55"/>
    </row>
    <row r="698">
      <c r="B698" s="28"/>
      <c r="C698" s="28"/>
      <c r="E698" s="55"/>
      <c r="F698" s="55"/>
      <c r="K698" s="55"/>
      <c r="L698" s="55"/>
    </row>
    <row r="699">
      <c r="B699" s="28"/>
      <c r="C699" s="28"/>
      <c r="E699" s="55"/>
      <c r="F699" s="55"/>
      <c r="K699" s="55"/>
      <c r="L699" s="55"/>
    </row>
    <row r="700">
      <c r="B700" s="28"/>
      <c r="C700" s="28"/>
      <c r="E700" s="55"/>
      <c r="F700" s="55"/>
      <c r="K700" s="55"/>
      <c r="L700" s="55"/>
    </row>
    <row r="701">
      <c r="B701" s="28"/>
      <c r="C701" s="28"/>
      <c r="E701" s="55"/>
      <c r="F701" s="55"/>
      <c r="K701" s="55"/>
      <c r="L701" s="55"/>
    </row>
    <row r="702">
      <c r="B702" s="28"/>
      <c r="C702" s="28"/>
      <c r="E702" s="55"/>
      <c r="F702" s="55"/>
      <c r="K702" s="55"/>
      <c r="L702" s="55"/>
    </row>
    <row r="703">
      <c r="B703" s="28"/>
      <c r="C703" s="28"/>
      <c r="E703" s="55"/>
      <c r="F703" s="55"/>
      <c r="K703" s="55"/>
      <c r="L703" s="55"/>
    </row>
    <row r="704">
      <c r="B704" s="28"/>
      <c r="C704" s="28"/>
      <c r="E704" s="55"/>
      <c r="F704" s="55"/>
      <c r="K704" s="55"/>
      <c r="L704" s="55"/>
    </row>
    <row r="705">
      <c r="B705" s="28"/>
      <c r="C705" s="28"/>
      <c r="E705" s="55"/>
      <c r="F705" s="55"/>
      <c r="K705" s="55"/>
      <c r="L705" s="55"/>
    </row>
    <row r="706">
      <c r="B706" s="28"/>
      <c r="C706" s="28"/>
      <c r="E706" s="55"/>
      <c r="F706" s="55"/>
      <c r="K706" s="55"/>
      <c r="L706" s="55"/>
    </row>
    <row r="707">
      <c r="B707" s="28"/>
      <c r="C707" s="28"/>
      <c r="E707" s="55"/>
      <c r="F707" s="55"/>
      <c r="K707" s="55"/>
      <c r="L707" s="55"/>
    </row>
    <row r="708">
      <c r="B708" s="28"/>
      <c r="C708" s="28"/>
      <c r="E708" s="55"/>
      <c r="F708" s="55"/>
      <c r="K708" s="55"/>
      <c r="L708" s="55"/>
    </row>
    <row r="709">
      <c r="B709" s="28"/>
      <c r="C709" s="28"/>
      <c r="E709" s="55"/>
      <c r="F709" s="55"/>
      <c r="K709" s="55"/>
      <c r="L709" s="55"/>
    </row>
    <row r="710">
      <c r="B710" s="28"/>
      <c r="C710" s="28"/>
      <c r="E710" s="55"/>
      <c r="F710" s="55"/>
      <c r="K710" s="55"/>
      <c r="L710" s="55"/>
    </row>
    <row r="711">
      <c r="B711" s="28"/>
      <c r="C711" s="28"/>
      <c r="E711" s="55"/>
      <c r="F711" s="55"/>
      <c r="K711" s="55"/>
      <c r="L711" s="55"/>
    </row>
    <row r="712">
      <c r="B712" s="28"/>
      <c r="C712" s="28"/>
      <c r="E712" s="55"/>
      <c r="F712" s="55"/>
      <c r="K712" s="55"/>
      <c r="L712" s="55"/>
    </row>
    <row r="713">
      <c r="B713" s="28"/>
      <c r="C713" s="28"/>
      <c r="E713" s="55"/>
      <c r="F713" s="55"/>
      <c r="K713" s="55"/>
      <c r="L713" s="55"/>
    </row>
    <row r="714">
      <c r="B714" s="28"/>
      <c r="C714" s="28"/>
      <c r="E714" s="55"/>
      <c r="F714" s="55"/>
      <c r="K714" s="55"/>
      <c r="L714" s="55"/>
    </row>
    <row r="715">
      <c r="B715" s="28"/>
      <c r="C715" s="28"/>
      <c r="E715" s="55"/>
      <c r="F715" s="55"/>
      <c r="K715" s="55"/>
      <c r="L715" s="55"/>
    </row>
    <row r="716">
      <c r="B716" s="28"/>
      <c r="C716" s="28"/>
      <c r="E716" s="55"/>
      <c r="F716" s="55"/>
      <c r="K716" s="55"/>
      <c r="L716" s="55"/>
    </row>
    <row r="717">
      <c r="B717" s="28"/>
      <c r="C717" s="28"/>
      <c r="E717" s="55"/>
      <c r="F717" s="55"/>
      <c r="K717" s="55"/>
      <c r="L717" s="55"/>
    </row>
    <row r="718">
      <c r="B718" s="28"/>
      <c r="C718" s="28"/>
      <c r="E718" s="55"/>
      <c r="F718" s="55"/>
      <c r="K718" s="55"/>
      <c r="L718" s="55"/>
    </row>
    <row r="719">
      <c r="B719" s="28"/>
      <c r="C719" s="28"/>
      <c r="E719" s="55"/>
      <c r="F719" s="55"/>
      <c r="K719" s="55"/>
      <c r="L719" s="55"/>
    </row>
    <row r="720">
      <c r="B720" s="28"/>
      <c r="C720" s="28"/>
      <c r="E720" s="55"/>
      <c r="F720" s="55"/>
      <c r="K720" s="55"/>
      <c r="L720" s="55"/>
    </row>
    <row r="721">
      <c r="B721" s="28"/>
      <c r="C721" s="28"/>
      <c r="E721" s="55"/>
      <c r="F721" s="55"/>
      <c r="K721" s="55"/>
      <c r="L721" s="55"/>
    </row>
    <row r="722">
      <c r="B722" s="28"/>
      <c r="C722" s="28"/>
      <c r="E722" s="55"/>
      <c r="F722" s="55"/>
      <c r="K722" s="55"/>
      <c r="L722" s="55"/>
    </row>
    <row r="723">
      <c r="B723" s="28"/>
      <c r="C723" s="28"/>
      <c r="E723" s="55"/>
      <c r="F723" s="55"/>
      <c r="K723" s="55"/>
      <c r="L723" s="55"/>
    </row>
    <row r="724">
      <c r="B724" s="28"/>
      <c r="C724" s="28"/>
      <c r="E724" s="55"/>
      <c r="F724" s="55"/>
      <c r="K724" s="55"/>
      <c r="L724" s="55"/>
    </row>
    <row r="725">
      <c r="B725" s="28"/>
      <c r="C725" s="28"/>
      <c r="E725" s="55"/>
      <c r="F725" s="55"/>
      <c r="K725" s="55"/>
      <c r="L725" s="55"/>
    </row>
    <row r="726">
      <c r="B726" s="28"/>
      <c r="C726" s="28"/>
      <c r="E726" s="55"/>
      <c r="F726" s="55"/>
      <c r="K726" s="55"/>
      <c r="L726" s="55"/>
    </row>
    <row r="727">
      <c r="B727" s="28"/>
      <c r="C727" s="28"/>
      <c r="E727" s="55"/>
      <c r="F727" s="55"/>
      <c r="K727" s="55"/>
      <c r="L727" s="55"/>
    </row>
    <row r="728">
      <c r="B728" s="28"/>
      <c r="C728" s="28"/>
      <c r="E728" s="55"/>
      <c r="F728" s="55"/>
      <c r="K728" s="55"/>
      <c r="L728" s="55"/>
    </row>
    <row r="729">
      <c r="B729" s="28"/>
      <c r="C729" s="28"/>
      <c r="E729" s="55"/>
      <c r="F729" s="55"/>
      <c r="K729" s="55"/>
      <c r="L729" s="55"/>
    </row>
    <row r="730">
      <c r="B730" s="28"/>
      <c r="C730" s="28"/>
      <c r="E730" s="55"/>
      <c r="F730" s="55"/>
      <c r="K730" s="55"/>
      <c r="L730" s="55"/>
    </row>
    <row r="731">
      <c r="B731" s="28"/>
      <c r="C731" s="28"/>
      <c r="E731" s="55"/>
      <c r="F731" s="55"/>
      <c r="K731" s="55"/>
      <c r="L731" s="55"/>
    </row>
    <row r="732">
      <c r="B732" s="28"/>
      <c r="C732" s="28"/>
      <c r="E732" s="55"/>
      <c r="F732" s="55"/>
      <c r="K732" s="55"/>
      <c r="L732" s="55"/>
    </row>
    <row r="733">
      <c r="B733" s="28"/>
      <c r="C733" s="28"/>
      <c r="E733" s="55"/>
      <c r="F733" s="55"/>
      <c r="K733" s="55"/>
      <c r="L733" s="55"/>
    </row>
    <row r="734">
      <c r="B734" s="28"/>
      <c r="C734" s="28"/>
      <c r="E734" s="55"/>
      <c r="F734" s="55"/>
      <c r="K734" s="55"/>
      <c r="L734" s="55"/>
    </row>
    <row r="735">
      <c r="B735" s="28"/>
      <c r="C735" s="28"/>
      <c r="E735" s="55"/>
      <c r="F735" s="55"/>
      <c r="K735" s="55"/>
      <c r="L735" s="55"/>
    </row>
    <row r="736">
      <c r="B736" s="28"/>
      <c r="C736" s="28"/>
      <c r="E736" s="55"/>
      <c r="F736" s="55"/>
      <c r="K736" s="55"/>
      <c r="L736" s="55"/>
    </row>
    <row r="737">
      <c r="B737" s="28"/>
      <c r="C737" s="28"/>
      <c r="E737" s="55"/>
      <c r="F737" s="55"/>
      <c r="K737" s="55"/>
      <c r="L737" s="55"/>
    </row>
    <row r="738">
      <c r="B738" s="28"/>
      <c r="C738" s="28"/>
      <c r="E738" s="55"/>
      <c r="F738" s="55"/>
      <c r="K738" s="55"/>
      <c r="L738" s="55"/>
    </row>
    <row r="739">
      <c r="B739" s="28"/>
      <c r="C739" s="28"/>
      <c r="E739" s="55"/>
      <c r="F739" s="55"/>
      <c r="K739" s="55"/>
      <c r="L739" s="55"/>
    </row>
    <row r="740">
      <c r="B740" s="28"/>
      <c r="C740" s="28"/>
      <c r="E740" s="55"/>
      <c r="F740" s="55"/>
      <c r="K740" s="55"/>
      <c r="L740" s="55"/>
    </row>
    <row r="741">
      <c r="B741" s="28"/>
      <c r="C741" s="28"/>
      <c r="E741" s="55"/>
      <c r="F741" s="55"/>
      <c r="K741" s="55"/>
      <c r="L741" s="55"/>
    </row>
    <row r="742">
      <c r="B742" s="28"/>
      <c r="C742" s="28"/>
      <c r="E742" s="55"/>
      <c r="F742" s="55"/>
      <c r="K742" s="55"/>
      <c r="L742" s="55"/>
    </row>
    <row r="743">
      <c r="B743" s="28"/>
      <c r="C743" s="28"/>
      <c r="E743" s="55"/>
      <c r="F743" s="55"/>
      <c r="K743" s="55"/>
      <c r="L743" s="55"/>
    </row>
    <row r="744">
      <c r="B744" s="28"/>
      <c r="C744" s="28"/>
      <c r="E744" s="55"/>
      <c r="F744" s="55"/>
      <c r="K744" s="55"/>
      <c r="L744" s="55"/>
    </row>
    <row r="745">
      <c r="B745" s="28"/>
      <c r="C745" s="28"/>
      <c r="E745" s="55"/>
      <c r="F745" s="55"/>
      <c r="K745" s="55"/>
      <c r="L745" s="55"/>
    </row>
    <row r="746">
      <c r="B746" s="28"/>
      <c r="C746" s="28"/>
      <c r="E746" s="55"/>
      <c r="F746" s="55"/>
      <c r="K746" s="55"/>
      <c r="L746" s="55"/>
    </row>
    <row r="747">
      <c r="B747" s="28"/>
      <c r="C747" s="28"/>
      <c r="E747" s="55"/>
      <c r="F747" s="55"/>
      <c r="K747" s="55"/>
      <c r="L747" s="55"/>
    </row>
    <row r="748">
      <c r="B748" s="28"/>
      <c r="C748" s="28"/>
      <c r="E748" s="55"/>
      <c r="F748" s="55"/>
      <c r="K748" s="55"/>
      <c r="L748" s="55"/>
    </row>
    <row r="749">
      <c r="B749" s="28"/>
      <c r="C749" s="28"/>
      <c r="E749" s="55"/>
      <c r="F749" s="55"/>
      <c r="K749" s="55"/>
      <c r="L749" s="55"/>
    </row>
    <row r="750">
      <c r="B750" s="28"/>
      <c r="C750" s="28"/>
      <c r="E750" s="55"/>
      <c r="F750" s="55"/>
      <c r="K750" s="55"/>
      <c r="L750" s="55"/>
    </row>
    <row r="751">
      <c r="B751" s="28"/>
      <c r="C751" s="28"/>
      <c r="E751" s="55"/>
      <c r="F751" s="55"/>
      <c r="K751" s="55"/>
      <c r="L751" s="55"/>
    </row>
    <row r="752">
      <c r="B752" s="28"/>
      <c r="C752" s="28"/>
      <c r="E752" s="55"/>
      <c r="F752" s="55"/>
      <c r="K752" s="55"/>
      <c r="L752" s="55"/>
    </row>
    <row r="753">
      <c r="B753" s="28"/>
      <c r="C753" s="28"/>
      <c r="E753" s="55"/>
      <c r="F753" s="55"/>
      <c r="K753" s="55"/>
      <c r="L753" s="55"/>
    </row>
    <row r="754">
      <c r="B754" s="28"/>
      <c r="C754" s="28"/>
      <c r="E754" s="55"/>
      <c r="F754" s="55"/>
      <c r="K754" s="55"/>
      <c r="L754" s="55"/>
    </row>
    <row r="755">
      <c r="B755" s="28"/>
      <c r="C755" s="28"/>
      <c r="E755" s="55"/>
      <c r="F755" s="55"/>
      <c r="K755" s="55"/>
      <c r="L755" s="55"/>
    </row>
    <row r="756">
      <c r="B756" s="28"/>
      <c r="C756" s="28"/>
      <c r="E756" s="55"/>
      <c r="F756" s="55"/>
      <c r="K756" s="55"/>
      <c r="L756" s="55"/>
    </row>
    <row r="757">
      <c r="B757" s="28"/>
      <c r="C757" s="28"/>
      <c r="E757" s="55"/>
      <c r="F757" s="55"/>
      <c r="K757" s="55"/>
      <c r="L757" s="55"/>
    </row>
    <row r="758">
      <c r="B758" s="28"/>
      <c r="C758" s="28"/>
      <c r="E758" s="55"/>
      <c r="F758" s="55"/>
      <c r="K758" s="55"/>
      <c r="L758" s="55"/>
    </row>
    <row r="759">
      <c r="B759" s="28"/>
      <c r="C759" s="28"/>
      <c r="E759" s="55"/>
      <c r="F759" s="55"/>
      <c r="K759" s="55"/>
      <c r="L759" s="55"/>
    </row>
    <row r="760">
      <c r="B760" s="28"/>
      <c r="C760" s="28"/>
      <c r="E760" s="55"/>
      <c r="F760" s="55"/>
      <c r="K760" s="55"/>
      <c r="L760" s="55"/>
    </row>
    <row r="761">
      <c r="B761" s="28"/>
      <c r="C761" s="28"/>
      <c r="E761" s="55"/>
      <c r="F761" s="55"/>
      <c r="K761" s="55"/>
      <c r="L761" s="55"/>
    </row>
    <row r="762">
      <c r="B762" s="28"/>
      <c r="C762" s="28"/>
      <c r="E762" s="55"/>
      <c r="F762" s="55"/>
      <c r="K762" s="55"/>
      <c r="L762" s="55"/>
    </row>
    <row r="763">
      <c r="B763" s="28"/>
      <c r="C763" s="28"/>
      <c r="E763" s="55"/>
      <c r="F763" s="55"/>
      <c r="K763" s="55"/>
      <c r="L763" s="55"/>
    </row>
    <row r="764">
      <c r="B764" s="28"/>
      <c r="C764" s="28"/>
      <c r="E764" s="55"/>
      <c r="F764" s="55"/>
      <c r="K764" s="55"/>
      <c r="L764" s="55"/>
    </row>
    <row r="765">
      <c r="B765" s="28"/>
      <c r="C765" s="28"/>
      <c r="E765" s="55"/>
      <c r="F765" s="55"/>
      <c r="K765" s="55"/>
      <c r="L765" s="55"/>
    </row>
    <row r="766">
      <c r="B766" s="28"/>
      <c r="C766" s="28"/>
      <c r="E766" s="55"/>
      <c r="F766" s="55"/>
      <c r="K766" s="55"/>
      <c r="L766" s="55"/>
    </row>
    <row r="767">
      <c r="B767" s="28"/>
      <c r="C767" s="28"/>
      <c r="E767" s="55"/>
      <c r="F767" s="55"/>
      <c r="K767" s="55"/>
      <c r="L767" s="55"/>
    </row>
    <row r="768">
      <c r="B768" s="28"/>
      <c r="C768" s="28"/>
      <c r="E768" s="55"/>
      <c r="F768" s="55"/>
      <c r="K768" s="55"/>
      <c r="L768" s="55"/>
    </row>
    <row r="769">
      <c r="B769" s="28"/>
      <c r="C769" s="28"/>
      <c r="E769" s="55"/>
      <c r="F769" s="55"/>
      <c r="K769" s="55"/>
      <c r="L769" s="55"/>
    </row>
    <row r="770">
      <c r="B770" s="28"/>
      <c r="C770" s="28"/>
      <c r="E770" s="55"/>
      <c r="F770" s="55"/>
      <c r="K770" s="55"/>
      <c r="L770" s="55"/>
    </row>
    <row r="771">
      <c r="B771" s="28"/>
      <c r="C771" s="28"/>
      <c r="E771" s="55"/>
      <c r="F771" s="55"/>
      <c r="K771" s="55"/>
      <c r="L771" s="55"/>
    </row>
    <row r="772">
      <c r="B772" s="28"/>
      <c r="C772" s="28"/>
      <c r="E772" s="55"/>
      <c r="F772" s="55"/>
      <c r="K772" s="55"/>
      <c r="L772" s="55"/>
    </row>
    <row r="773">
      <c r="B773" s="28"/>
      <c r="C773" s="28"/>
      <c r="E773" s="55"/>
      <c r="F773" s="55"/>
      <c r="K773" s="55"/>
      <c r="L773" s="55"/>
    </row>
    <row r="774">
      <c r="B774" s="28"/>
      <c r="C774" s="28"/>
      <c r="E774" s="55"/>
      <c r="F774" s="55"/>
      <c r="K774" s="55"/>
      <c r="L774" s="55"/>
    </row>
    <row r="775">
      <c r="B775" s="28"/>
      <c r="C775" s="28"/>
      <c r="E775" s="55"/>
      <c r="F775" s="55"/>
      <c r="K775" s="55"/>
      <c r="L775" s="55"/>
    </row>
    <row r="776">
      <c r="B776" s="28"/>
      <c r="C776" s="28"/>
      <c r="E776" s="55"/>
      <c r="F776" s="55"/>
      <c r="K776" s="55"/>
      <c r="L776" s="55"/>
    </row>
    <row r="777">
      <c r="B777" s="28"/>
      <c r="C777" s="28"/>
      <c r="E777" s="55"/>
      <c r="F777" s="55"/>
      <c r="K777" s="55"/>
      <c r="L777" s="55"/>
    </row>
    <row r="778">
      <c r="B778" s="28"/>
      <c r="C778" s="28"/>
      <c r="E778" s="55"/>
      <c r="F778" s="55"/>
      <c r="K778" s="55"/>
      <c r="L778" s="55"/>
    </row>
    <row r="779">
      <c r="B779" s="28"/>
      <c r="C779" s="28"/>
      <c r="E779" s="55"/>
      <c r="F779" s="55"/>
      <c r="K779" s="55"/>
      <c r="L779" s="55"/>
    </row>
    <row r="780">
      <c r="B780" s="28"/>
      <c r="C780" s="28"/>
      <c r="E780" s="55"/>
      <c r="F780" s="55"/>
      <c r="K780" s="55"/>
      <c r="L780" s="55"/>
    </row>
    <row r="781">
      <c r="B781" s="28"/>
      <c r="C781" s="28"/>
      <c r="E781" s="55"/>
      <c r="F781" s="55"/>
      <c r="K781" s="55"/>
      <c r="L781" s="55"/>
    </row>
    <row r="782">
      <c r="B782" s="28"/>
      <c r="C782" s="28"/>
      <c r="E782" s="55"/>
      <c r="F782" s="55"/>
      <c r="K782" s="55"/>
      <c r="L782" s="55"/>
    </row>
    <row r="783">
      <c r="B783" s="28"/>
      <c r="C783" s="28"/>
      <c r="E783" s="55"/>
      <c r="F783" s="55"/>
      <c r="K783" s="55"/>
      <c r="L783" s="55"/>
    </row>
    <row r="784">
      <c r="B784" s="28"/>
      <c r="C784" s="28"/>
      <c r="E784" s="55"/>
      <c r="F784" s="55"/>
      <c r="K784" s="55"/>
      <c r="L784" s="55"/>
    </row>
    <row r="785">
      <c r="B785" s="28"/>
      <c r="C785" s="28"/>
      <c r="E785" s="55"/>
      <c r="F785" s="55"/>
      <c r="K785" s="55"/>
      <c r="L785" s="55"/>
    </row>
    <row r="786">
      <c r="B786" s="28"/>
      <c r="C786" s="28"/>
      <c r="E786" s="55"/>
      <c r="F786" s="55"/>
      <c r="K786" s="55"/>
      <c r="L786" s="55"/>
    </row>
    <row r="787">
      <c r="B787" s="28"/>
      <c r="C787" s="28"/>
      <c r="E787" s="55"/>
      <c r="F787" s="55"/>
      <c r="K787" s="55"/>
      <c r="L787" s="55"/>
    </row>
    <row r="788">
      <c r="B788" s="28"/>
      <c r="C788" s="28"/>
      <c r="E788" s="55"/>
      <c r="F788" s="55"/>
      <c r="K788" s="55"/>
      <c r="L788" s="55"/>
    </row>
    <row r="789">
      <c r="B789" s="28"/>
      <c r="C789" s="28"/>
      <c r="E789" s="55"/>
      <c r="F789" s="55"/>
      <c r="K789" s="55"/>
      <c r="L789" s="55"/>
    </row>
    <row r="790">
      <c r="B790" s="28"/>
      <c r="C790" s="28"/>
      <c r="E790" s="55"/>
      <c r="F790" s="55"/>
      <c r="K790" s="55"/>
      <c r="L790" s="55"/>
    </row>
    <row r="791">
      <c r="B791" s="28"/>
      <c r="C791" s="28"/>
      <c r="E791" s="55"/>
      <c r="F791" s="55"/>
      <c r="K791" s="55"/>
      <c r="L791" s="55"/>
    </row>
    <row r="792">
      <c r="B792" s="28"/>
      <c r="C792" s="28"/>
      <c r="E792" s="55"/>
      <c r="F792" s="55"/>
      <c r="K792" s="55"/>
      <c r="L792" s="55"/>
    </row>
    <row r="793">
      <c r="B793" s="28"/>
      <c r="C793" s="28"/>
      <c r="E793" s="55"/>
      <c r="F793" s="55"/>
      <c r="K793" s="55"/>
      <c r="L793" s="55"/>
    </row>
    <row r="794">
      <c r="B794" s="28"/>
      <c r="C794" s="28"/>
      <c r="E794" s="55"/>
      <c r="F794" s="55"/>
      <c r="K794" s="55"/>
      <c r="L794" s="55"/>
    </row>
    <row r="795">
      <c r="B795" s="28"/>
      <c r="C795" s="28"/>
      <c r="E795" s="55"/>
      <c r="F795" s="55"/>
      <c r="K795" s="55"/>
      <c r="L795" s="55"/>
    </row>
    <row r="796">
      <c r="B796" s="28"/>
      <c r="C796" s="28"/>
      <c r="E796" s="55"/>
      <c r="F796" s="55"/>
      <c r="K796" s="55"/>
      <c r="L796" s="55"/>
    </row>
    <row r="797">
      <c r="B797" s="28"/>
      <c r="C797" s="28"/>
      <c r="E797" s="55"/>
      <c r="F797" s="55"/>
      <c r="K797" s="55"/>
      <c r="L797" s="55"/>
    </row>
    <row r="798">
      <c r="B798" s="28"/>
      <c r="C798" s="28"/>
      <c r="E798" s="55"/>
      <c r="F798" s="55"/>
      <c r="K798" s="55"/>
      <c r="L798" s="55"/>
    </row>
    <row r="799">
      <c r="B799" s="28"/>
      <c r="C799" s="28"/>
      <c r="E799" s="55"/>
      <c r="F799" s="55"/>
      <c r="K799" s="55"/>
      <c r="L799" s="55"/>
    </row>
    <row r="800">
      <c r="B800" s="28"/>
      <c r="C800" s="28"/>
      <c r="E800" s="55"/>
      <c r="F800" s="55"/>
      <c r="K800" s="55"/>
      <c r="L800" s="55"/>
    </row>
    <row r="801">
      <c r="B801" s="28"/>
      <c r="C801" s="28"/>
      <c r="E801" s="55"/>
      <c r="F801" s="55"/>
      <c r="K801" s="55"/>
      <c r="L801" s="55"/>
    </row>
    <row r="802">
      <c r="B802" s="28"/>
      <c r="C802" s="28"/>
      <c r="E802" s="55"/>
      <c r="F802" s="55"/>
      <c r="K802" s="55"/>
      <c r="L802" s="55"/>
    </row>
    <row r="803">
      <c r="B803" s="28"/>
      <c r="C803" s="28"/>
      <c r="E803" s="55"/>
      <c r="F803" s="55"/>
      <c r="K803" s="55"/>
      <c r="L803" s="55"/>
    </row>
    <row r="804">
      <c r="B804" s="28"/>
      <c r="C804" s="28"/>
      <c r="E804" s="55"/>
      <c r="F804" s="55"/>
      <c r="K804" s="55"/>
      <c r="L804" s="55"/>
    </row>
    <row r="805">
      <c r="B805" s="28"/>
      <c r="C805" s="28"/>
      <c r="E805" s="55"/>
      <c r="F805" s="55"/>
      <c r="K805" s="55"/>
      <c r="L805" s="55"/>
    </row>
    <row r="806">
      <c r="B806" s="28"/>
      <c r="C806" s="28"/>
      <c r="E806" s="55"/>
      <c r="F806" s="55"/>
      <c r="K806" s="55"/>
      <c r="L806" s="55"/>
    </row>
    <row r="807">
      <c r="B807" s="28"/>
      <c r="C807" s="28"/>
      <c r="E807" s="55"/>
      <c r="F807" s="55"/>
      <c r="K807" s="55"/>
      <c r="L807" s="55"/>
    </row>
    <row r="808">
      <c r="B808" s="28"/>
      <c r="C808" s="28"/>
      <c r="E808" s="55"/>
      <c r="F808" s="55"/>
      <c r="K808" s="55"/>
      <c r="L808" s="55"/>
    </row>
    <row r="809">
      <c r="B809" s="28"/>
      <c r="C809" s="28"/>
      <c r="E809" s="55"/>
      <c r="F809" s="55"/>
      <c r="K809" s="55"/>
      <c r="L809" s="55"/>
    </row>
    <row r="810">
      <c r="B810" s="28"/>
      <c r="C810" s="28"/>
      <c r="E810" s="55"/>
      <c r="F810" s="55"/>
      <c r="K810" s="55"/>
      <c r="L810" s="55"/>
    </row>
    <row r="811">
      <c r="B811" s="28"/>
      <c r="C811" s="28"/>
      <c r="E811" s="55"/>
      <c r="F811" s="55"/>
      <c r="K811" s="55"/>
      <c r="L811" s="55"/>
    </row>
    <row r="812">
      <c r="B812" s="28"/>
      <c r="C812" s="28"/>
      <c r="E812" s="55"/>
      <c r="F812" s="55"/>
      <c r="K812" s="55"/>
      <c r="L812" s="55"/>
    </row>
    <row r="813">
      <c r="B813" s="28"/>
      <c r="C813" s="28"/>
      <c r="E813" s="55"/>
      <c r="F813" s="55"/>
      <c r="K813" s="55"/>
      <c r="L813" s="55"/>
    </row>
    <row r="814">
      <c r="B814" s="28"/>
      <c r="C814" s="28"/>
      <c r="E814" s="55"/>
      <c r="F814" s="55"/>
      <c r="K814" s="55"/>
      <c r="L814" s="55"/>
    </row>
    <row r="815">
      <c r="B815" s="28"/>
      <c r="C815" s="28"/>
      <c r="E815" s="55"/>
      <c r="F815" s="55"/>
      <c r="K815" s="55"/>
      <c r="L815" s="55"/>
    </row>
    <row r="816">
      <c r="B816" s="28"/>
      <c r="C816" s="28"/>
      <c r="E816" s="55"/>
      <c r="F816" s="55"/>
      <c r="K816" s="55"/>
      <c r="L816" s="55"/>
    </row>
    <row r="817">
      <c r="B817" s="28"/>
      <c r="C817" s="28"/>
      <c r="E817" s="55"/>
      <c r="F817" s="55"/>
      <c r="K817" s="55"/>
      <c r="L817" s="55"/>
    </row>
    <row r="818">
      <c r="B818" s="28"/>
      <c r="C818" s="28"/>
      <c r="E818" s="55"/>
      <c r="F818" s="55"/>
      <c r="K818" s="55"/>
      <c r="L818" s="55"/>
    </row>
    <row r="819">
      <c r="B819" s="28"/>
      <c r="C819" s="28"/>
      <c r="E819" s="55"/>
      <c r="F819" s="55"/>
      <c r="K819" s="55"/>
      <c r="L819" s="55"/>
    </row>
    <row r="820">
      <c r="B820" s="28"/>
      <c r="C820" s="28"/>
      <c r="E820" s="55"/>
      <c r="F820" s="55"/>
      <c r="K820" s="55"/>
      <c r="L820" s="55"/>
    </row>
    <row r="821">
      <c r="B821" s="28"/>
      <c r="C821" s="28"/>
      <c r="E821" s="55"/>
      <c r="F821" s="55"/>
      <c r="K821" s="55"/>
      <c r="L821" s="55"/>
    </row>
    <row r="822">
      <c r="B822" s="28"/>
      <c r="C822" s="28"/>
      <c r="E822" s="55"/>
      <c r="F822" s="55"/>
      <c r="K822" s="55"/>
      <c r="L822" s="55"/>
    </row>
    <row r="823">
      <c r="B823" s="28"/>
      <c r="C823" s="28"/>
      <c r="E823" s="55"/>
      <c r="F823" s="55"/>
      <c r="K823" s="55"/>
      <c r="L823" s="55"/>
    </row>
    <row r="824">
      <c r="B824" s="28"/>
      <c r="C824" s="28"/>
      <c r="E824" s="55"/>
      <c r="F824" s="55"/>
      <c r="K824" s="55"/>
      <c r="L824" s="55"/>
    </row>
    <row r="825">
      <c r="B825" s="28"/>
      <c r="C825" s="28"/>
      <c r="E825" s="55"/>
      <c r="F825" s="55"/>
      <c r="K825" s="55"/>
      <c r="L825" s="55"/>
    </row>
    <row r="826">
      <c r="B826" s="28"/>
      <c r="C826" s="28"/>
      <c r="E826" s="55"/>
      <c r="F826" s="55"/>
      <c r="K826" s="55"/>
      <c r="L826" s="55"/>
    </row>
    <row r="827">
      <c r="B827" s="28"/>
      <c r="C827" s="28"/>
      <c r="E827" s="55"/>
      <c r="F827" s="55"/>
      <c r="K827" s="55"/>
      <c r="L827" s="55"/>
    </row>
    <row r="828">
      <c r="B828" s="28"/>
      <c r="C828" s="28"/>
      <c r="E828" s="55"/>
      <c r="F828" s="55"/>
      <c r="K828" s="55"/>
      <c r="L828" s="55"/>
    </row>
    <row r="829">
      <c r="B829" s="28"/>
      <c r="C829" s="28"/>
      <c r="E829" s="55"/>
      <c r="F829" s="55"/>
      <c r="K829" s="55"/>
      <c r="L829" s="55"/>
    </row>
    <row r="830">
      <c r="B830" s="28"/>
      <c r="C830" s="28"/>
      <c r="E830" s="55"/>
      <c r="F830" s="55"/>
      <c r="K830" s="55"/>
      <c r="L830" s="55"/>
    </row>
    <row r="831">
      <c r="B831" s="28"/>
      <c r="C831" s="28"/>
      <c r="E831" s="55"/>
      <c r="F831" s="55"/>
      <c r="K831" s="55"/>
      <c r="L831" s="55"/>
    </row>
    <row r="832">
      <c r="B832" s="28"/>
      <c r="C832" s="28"/>
      <c r="E832" s="55"/>
      <c r="F832" s="55"/>
      <c r="K832" s="55"/>
      <c r="L832" s="55"/>
    </row>
    <row r="833">
      <c r="B833" s="28"/>
      <c r="C833" s="28"/>
      <c r="E833" s="55"/>
      <c r="F833" s="55"/>
      <c r="K833" s="55"/>
      <c r="L833" s="55"/>
    </row>
    <row r="834">
      <c r="B834" s="28"/>
      <c r="C834" s="28"/>
      <c r="E834" s="55"/>
      <c r="F834" s="55"/>
      <c r="K834" s="55"/>
      <c r="L834" s="55"/>
    </row>
    <row r="835">
      <c r="B835" s="28"/>
      <c r="C835" s="28"/>
      <c r="E835" s="55"/>
      <c r="F835" s="55"/>
      <c r="K835" s="55"/>
      <c r="L835" s="55"/>
    </row>
    <row r="836">
      <c r="B836" s="28"/>
      <c r="C836" s="28"/>
      <c r="E836" s="55"/>
      <c r="F836" s="55"/>
      <c r="K836" s="55"/>
      <c r="L836" s="55"/>
    </row>
    <row r="837">
      <c r="B837" s="28"/>
      <c r="C837" s="28"/>
      <c r="E837" s="55"/>
      <c r="F837" s="55"/>
      <c r="K837" s="55"/>
      <c r="L837" s="55"/>
    </row>
    <row r="838">
      <c r="B838" s="28"/>
      <c r="C838" s="28"/>
      <c r="E838" s="55"/>
      <c r="F838" s="55"/>
      <c r="K838" s="55"/>
      <c r="L838" s="55"/>
    </row>
    <row r="839">
      <c r="B839" s="28"/>
      <c r="C839" s="28"/>
      <c r="E839" s="55"/>
      <c r="F839" s="55"/>
      <c r="K839" s="55"/>
      <c r="L839" s="55"/>
    </row>
    <row r="840">
      <c r="B840" s="28"/>
      <c r="C840" s="28"/>
      <c r="E840" s="55"/>
      <c r="F840" s="55"/>
      <c r="K840" s="55"/>
      <c r="L840" s="55"/>
    </row>
    <row r="841">
      <c r="B841" s="28"/>
      <c r="C841" s="28"/>
      <c r="E841" s="55"/>
      <c r="F841" s="55"/>
      <c r="K841" s="55"/>
      <c r="L841" s="55"/>
    </row>
    <row r="842">
      <c r="B842" s="28"/>
      <c r="C842" s="28"/>
      <c r="E842" s="55"/>
      <c r="F842" s="55"/>
      <c r="K842" s="55"/>
      <c r="L842" s="55"/>
    </row>
    <row r="843">
      <c r="B843" s="28"/>
      <c r="C843" s="28"/>
      <c r="E843" s="55"/>
      <c r="F843" s="55"/>
      <c r="K843" s="55"/>
      <c r="L843" s="55"/>
    </row>
    <row r="844">
      <c r="B844" s="28"/>
      <c r="C844" s="28"/>
      <c r="E844" s="55"/>
      <c r="F844" s="55"/>
      <c r="K844" s="55"/>
      <c r="L844" s="55"/>
    </row>
    <row r="845">
      <c r="B845" s="28"/>
      <c r="C845" s="28"/>
      <c r="E845" s="55"/>
      <c r="F845" s="55"/>
      <c r="K845" s="55"/>
      <c r="L845" s="55"/>
    </row>
    <row r="846">
      <c r="B846" s="28"/>
      <c r="C846" s="28"/>
      <c r="E846" s="55"/>
      <c r="F846" s="55"/>
      <c r="K846" s="55"/>
      <c r="L846" s="55"/>
    </row>
    <row r="847">
      <c r="B847" s="28"/>
      <c r="C847" s="28"/>
      <c r="E847" s="55"/>
      <c r="F847" s="55"/>
      <c r="K847" s="55"/>
      <c r="L847" s="55"/>
    </row>
    <row r="848">
      <c r="B848" s="28"/>
      <c r="C848" s="28"/>
      <c r="E848" s="55"/>
      <c r="F848" s="55"/>
      <c r="K848" s="55"/>
      <c r="L848" s="55"/>
    </row>
    <row r="849">
      <c r="B849" s="28"/>
      <c r="C849" s="28"/>
      <c r="E849" s="55"/>
      <c r="F849" s="55"/>
      <c r="K849" s="55"/>
      <c r="L849" s="55"/>
    </row>
    <row r="850">
      <c r="B850" s="28"/>
      <c r="C850" s="28"/>
      <c r="E850" s="55"/>
      <c r="F850" s="55"/>
      <c r="K850" s="55"/>
      <c r="L850" s="55"/>
    </row>
    <row r="851">
      <c r="B851" s="28"/>
      <c r="C851" s="28"/>
      <c r="E851" s="55"/>
      <c r="F851" s="55"/>
      <c r="K851" s="55"/>
      <c r="L851" s="55"/>
    </row>
    <row r="852">
      <c r="B852" s="28"/>
      <c r="C852" s="28"/>
      <c r="E852" s="55"/>
      <c r="F852" s="55"/>
      <c r="K852" s="55"/>
      <c r="L852" s="55"/>
    </row>
    <row r="853">
      <c r="B853" s="28"/>
      <c r="C853" s="28"/>
      <c r="E853" s="55"/>
      <c r="F853" s="55"/>
      <c r="K853" s="55"/>
      <c r="L853" s="55"/>
    </row>
    <row r="854">
      <c r="B854" s="28"/>
      <c r="C854" s="28"/>
      <c r="E854" s="55"/>
      <c r="F854" s="55"/>
      <c r="K854" s="55"/>
      <c r="L854" s="55"/>
    </row>
    <row r="855">
      <c r="B855" s="28"/>
      <c r="C855" s="28"/>
      <c r="E855" s="55"/>
      <c r="F855" s="55"/>
      <c r="K855" s="55"/>
      <c r="L855" s="55"/>
    </row>
    <row r="856">
      <c r="B856" s="28"/>
      <c r="C856" s="28"/>
      <c r="E856" s="55"/>
      <c r="F856" s="55"/>
      <c r="K856" s="55"/>
      <c r="L856" s="55"/>
    </row>
    <row r="857">
      <c r="B857" s="28"/>
      <c r="C857" s="28"/>
      <c r="E857" s="55"/>
      <c r="F857" s="55"/>
      <c r="K857" s="55"/>
      <c r="L857" s="55"/>
    </row>
    <row r="858">
      <c r="B858" s="28"/>
      <c r="C858" s="28"/>
      <c r="E858" s="55"/>
      <c r="F858" s="55"/>
      <c r="K858" s="55"/>
      <c r="L858" s="55"/>
    </row>
    <row r="859">
      <c r="B859" s="28"/>
      <c r="C859" s="28"/>
      <c r="E859" s="55"/>
      <c r="F859" s="55"/>
      <c r="K859" s="55"/>
      <c r="L859" s="55"/>
    </row>
    <row r="860">
      <c r="B860" s="28"/>
      <c r="C860" s="28"/>
      <c r="E860" s="55"/>
      <c r="F860" s="55"/>
      <c r="K860" s="55"/>
      <c r="L860" s="55"/>
    </row>
    <row r="861">
      <c r="B861" s="28"/>
      <c r="C861" s="28"/>
      <c r="E861" s="55"/>
      <c r="F861" s="55"/>
      <c r="K861" s="55"/>
      <c r="L861" s="55"/>
    </row>
    <row r="862">
      <c r="B862" s="28"/>
      <c r="C862" s="28"/>
      <c r="E862" s="55"/>
      <c r="F862" s="55"/>
      <c r="K862" s="55"/>
      <c r="L862" s="55"/>
    </row>
    <row r="863">
      <c r="B863" s="28"/>
      <c r="C863" s="28"/>
      <c r="E863" s="55"/>
      <c r="F863" s="55"/>
      <c r="K863" s="55"/>
      <c r="L863" s="55"/>
    </row>
    <row r="864">
      <c r="B864" s="28"/>
      <c r="C864" s="28"/>
      <c r="E864" s="55"/>
      <c r="F864" s="55"/>
      <c r="K864" s="55"/>
      <c r="L864" s="55"/>
    </row>
    <row r="865">
      <c r="B865" s="28"/>
      <c r="C865" s="28"/>
      <c r="E865" s="55"/>
      <c r="F865" s="55"/>
      <c r="K865" s="55"/>
      <c r="L865" s="55"/>
    </row>
    <row r="866">
      <c r="B866" s="28"/>
      <c r="C866" s="28"/>
      <c r="E866" s="55"/>
      <c r="F866" s="55"/>
      <c r="K866" s="55"/>
      <c r="L866" s="55"/>
    </row>
    <row r="867">
      <c r="B867" s="28"/>
      <c r="C867" s="28"/>
      <c r="E867" s="55"/>
      <c r="F867" s="55"/>
      <c r="K867" s="55"/>
      <c r="L867" s="55"/>
    </row>
    <row r="868">
      <c r="B868" s="28"/>
      <c r="C868" s="28"/>
      <c r="E868" s="55"/>
      <c r="F868" s="55"/>
      <c r="K868" s="55"/>
      <c r="L868" s="55"/>
    </row>
    <row r="869">
      <c r="B869" s="28"/>
      <c r="C869" s="28"/>
      <c r="E869" s="55"/>
      <c r="F869" s="55"/>
      <c r="K869" s="55"/>
      <c r="L869" s="55"/>
    </row>
    <row r="870">
      <c r="B870" s="28"/>
      <c r="C870" s="28"/>
      <c r="E870" s="55"/>
      <c r="F870" s="55"/>
      <c r="K870" s="55"/>
      <c r="L870" s="55"/>
    </row>
    <row r="871">
      <c r="B871" s="28"/>
      <c r="C871" s="28"/>
      <c r="E871" s="55"/>
      <c r="F871" s="55"/>
      <c r="K871" s="55"/>
      <c r="L871" s="55"/>
    </row>
    <row r="872">
      <c r="B872" s="28"/>
      <c r="C872" s="28"/>
      <c r="E872" s="55"/>
      <c r="F872" s="55"/>
      <c r="K872" s="55"/>
      <c r="L872" s="55"/>
    </row>
    <row r="873">
      <c r="B873" s="28"/>
      <c r="C873" s="28"/>
      <c r="E873" s="55"/>
      <c r="F873" s="55"/>
      <c r="K873" s="55"/>
      <c r="L873" s="55"/>
    </row>
    <row r="874">
      <c r="B874" s="28"/>
      <c r="C874" s="28"/>
      <c r="E874" s="55"/>
      <c r="F874" s="55"/>
      <c r="K874" s="55"/>
      <c r="L874" s="55"/>
    </row>
    <row r="875">
      <c r="B875" s="28"/>
      <c r="C875" s="28"/>
      <c r="E875" s="55"/>
      <c r="F875" s="55"/>
      <c r="K875" s="55"/>
      <c r="L875" s="55"/>
    </row>
    <row r="876">
      <c r="B876" s="28"/>
      <c r="C876" s="28"/>
      <c r="E876" s="55"/>
      <c r="F876" s="55"/>
      <c r="K876" s="55"/>
      <c r="L876" s="55"/>
    </row>
    <row r="877">
      <c r="B877" s="28"/>
      <c r="C877" s="28"/>
      <c r="E877" s="55"/>
      <c r="F877" s="55"/>
      <c r="K877" s="55"/>
      <c r="L877" s="55"/>
    </row>
    <row r="878">
      <c r="B878" s="28"/>
      <c r="C878" s="28"/>
      <c r="E878" s="55"/>
      <c r="F878" s="55"/>
      <c r="K878" s="55"/>
      <c r="L878" s="55"/>
    </row>
    <row r="879">
      <c r="B879" s="28"/>
      <c r="C879" s="28"/>
      <c r="E879" s="55"/>
      <c r="F879" s="55"/>
      <c r="K879" s="55"/>
      <c r="L879" s="55"/>
    </row>
    <row r="880">
      <c r="B880" s="28"/>
      <c r="C880" s="28"/>
      <c r="E880" s="55"/>
      <c r="F880" s="55"/>
      <c r="K880" s="55"/>
      <c r="L880" s="55"/>
    </row>
    <row r="881">
      <c r="B881" s="28"/>
      <c r="C881" s="28"/>
      <c r="E881" s="55"/>
      <c r="F881" s="55"/>
      <c r="K881" s="55"/>
      <c r="L881" s="55"/>
    </row>
    <row r="882">
      <c r="B882" s="28"/>
      <c r="C882" s="28"/>
      <c r="E882" s="55"/>
      <c r="F882" s="55"/>
      <c r="K882" s="55"/>
      <c r="L882" s="55"/>
    </row>
    <row r="883">
      <c r="B883" s="28"/>
      <c r="C883" s="28"/>
      <c r="E883" s="55"/>
      <c r="F883" s="55"/>
      <c r="K883" s="55"/>
      <c r="L883" s="55"/>
    </row>
    <row r="884">
      <c r="B884" s="28"/>
      <c r="C884" s="28"/>
      <c r="E884" s="55"/>
      <c r="F884" s="55"/>
      <c r="K884" s="55"/>
      <c r="L884" s="55"/>
    </row>
    <row r="885">
      <c r="B885" s="28"/>
      <c r="C885" s="28"/>
      <c r="E885" s="55"/>
      <c r="F885" s="55"/>
      <c r="K885" s="55"/>
      <c r="L885" s="55"/>
    </row>
    <row r="886">
      <c r="B886" s="28"/>
      <c r="C886" s="28"/>
      <c r="E886" s="55"/>
      <c r="F886" s="55"/>
      <c r="K886" s="55"/>
      <c r="L886" s="55"/>
    </row>
    <row r="887">
      <c r="B887" s="28"/>
      <c r="C887" s="28"/>
      <c r="E887" s="55"/>
      <c r="F887" s="55"/>
      <c r="K887" s="55"/>
      <c r="L887" s="55"/>
    </row>
    <row r="888">
      <c r="B888" s="28"/>
      <c r="C888" s="28"/>
      <c r="E888" s="55"/>
      <c r="F888" s="55"/>
      <c r="K888" s="55"/>
      <c r="L888" s="55"/>
    </row>
    <row r="889">
      <c r="B889" s="28"/>
      <c r="C889" s="28"/>
      <c r="E889" s="55"/>
      <c r="F889" s="55"/>
      <c r="K889" s="55"/>
      <c r="L889" s="55"/>
    </row>
    <row r="890">
      <c r="B890" s="28"/>
      <c r="C890" s="28"/>
      <c r="E890" s="55"/>
      <c r="F890" s="55"/>
      <c r="K890" s="55"/>
      <c r="L890" s="55"/>
    </row>
    <row r="891">
      <c r="B891" s="28"/>
      <c r="C891" s="28"/>
      <c r="E891" s="55"/>
      <c r="F891" s="55"/>
      <c r="K891" s="55"/>
      <c r="L891" s="55"/>
    </row>
    <row r="892">
      <c r="B892" s="28"/>
      <c r="C892" s="28"/>
      <c r="E892" s="55"/>
      <c r="F892" s="55"/>
      <c r="K892" s="55"/>
      <c r="L892" s="55"/>
    </row>
    <row r="893">
      <c r="B893" s="28"/>
      <c r="C893" s="28"/>
      <c r="E893" s="55"/>
      <c r="F893" s="55"/>
      <c r="K893" s="55"/>
      <c r="L893" s="55"/>
    </row>
    <row r="894">
      <c r="B894" s="28"/>
      <c r="C894" s="28"/>
      <c r="E894" s="55"/>
      <c r="F894" s="55"/>
      <c r="K894" s="55"/>
      <c r="L894" s="55"/>
    </row>
    <row r="895">
      <c r="B895" s="28"/>
      <c r="C895" s="28"/>
      <c r="E895" s="55"/>
      <c r="F895" s="55"/>
      <c r="K895" s="55"/>
      <c r="L895" s="55"/>
    </row>
    <row r="896">
      <c r="B896" s="28"/>
      <c r="C896" s="28"/>
      <c r="E896" s="55"/>
      <c r="F896" s="55"/>
      <c r="K896" s="55"/>
      <c r="L896" s="55"/>
    </row>
    <row r="897">
      <c r="B897" s="28"/>
      <c r="C897" s="28"/>
      <c r="E897" s="55"/>
      <c r="F897" s="55"/>
      <c r="K897" s="55"/>
      <c r="L897" s="55"/>
    </row>
    <row r="898">
      <c r="B898" s="28"/>
      <c r="C898" s="28"/>
      <c r="E898" s="55"/>
      <c r="F898" s="55"/>
      <c r="K898" s="55"/>
      <c r="L898" s="55"/>
    </row>
    <row r="899">
      <c r="B899" s="28"/>
      <c r="C899" s="28"/>
      <c r="E899" s="55"/>
      <c r="F899" s="55"/>
      <c r="K899" s="55"/>
      <c r="L899" s="55"/>
    </row>
    <row r="900">
      <c r="B900" s="28"/>
      <c r="C900" s="28"/>
      <c r="E900" s="55"/>
      <c r="F900" s="55"/>
      <c r="K900" s="55"/>
      <c r="L900" s="55"/>
    </row>
    <row r="901">
      <c r="B901" s="28"/>
      <c r="C901" s="28"/>
      <c r="E901" s="55"/>
      <c r="F901" s="55"/>
      <c r="K901" s="55"/>
      <c r="L901" s="55"/>
    </row>
    <row r="902">
      <c r="B902" s="28"/>
      <c r="C902" s="28"/>
      <c r="E902" s="55"/>
      <c r="F902" s="55"/>
      <c r="K902" s="55"/>
      <c r="L902" s="55"/>
    </row>
    <row r="903">
      <c r="B903" s="28"/>
      <c r="C903" s="28"/>
      <c r="E903" s="55"/>
      <c r="F903" s="55"/>
      <c r="K903" s="55"/>
      <c r="L903" s="55"/>
    </row>
    <row r="904">
      <c r="B904" s="28"/>
      <c r="C904" s="28"/>
      <c r="E904" s="55"/>
      <c r="F904" s="55"/>
      <c r="K904" s="55"/>
      <c r="L904" s="55"/>
    </row>
    <row r="905">
      <c r="B905" s="28"/>
      <c r="C905" s="28"/>
      <c r="E905" s="55"/>
      <c r="F905" s="55"/>
      <c r="K905" s="55"/>
      <c r="L905" s="55"/>
    </row>
    <row r="906">
      <c r="B906" s="28"/>
      <c r="C906" s="28"/>
      <c r="E906" s="55"/>
      <c r="F906" s="55"/>
      <c r="K906" s="55"/>
      <c r="L906" s="55"/>
    </row>
    <row r="907">
      <c r="B907" s="28"/>
      <c r="C907" s="28"/>
      <c r="E907" s="55"/>
      <c r="F907" s="55"/>
      <c r="K907" s="55"/>
      <c r="L907" s="55"/>
    </row>
    <row r="908">
      <c r="B908" s="28"/>
      <c r="C908" s="28"/>
      <c r="E908" s="55"/>
      <c r="F908" s="55"/>
      <c r="K908" s="55"/>
      <c r="L908" s="55"/>
    </row>
    <row r="909">
      <c r="B909" s="28"/>
      <c r="C909" s="28"/>
      <c r="E909" s="55"/>
      <c r="F909" s="55"/>
      <c r="K909" s="55"/>
      <c r="L909" s="55"/>
    </row>
    <row r="910">
      <c r="B910" s="28"/>
      <c r="C910" s="28"/>
      <c r="E910" s="55"/>
      <c r="F910" s="55"/>
      <c r="K910" s="55"/>
      <c r="L910" s="55"/>
    </row>
    <row r="911">
      <c r="B911" s="28"/>
      <c r="C911" s="28"/>
      <c r="E911" s="55"/>
      <c r="F911" s="55"/>
      <c r="K911" s="55"/>
      <c r="L911" s="55"/>
    </row>
    <row r="912">
      <c r="B912" s="28"/>
      <c r="C912" s="28"/>
      <c r="E912" s="55"/>
      <c r="F912" s="55"/>
      <c r="K912" s="55"/>
      <c r="L912" s="55"/>
    </row>
    <row r="913">
      <c r="B913" s="28"/>
      <c r="C913" s="28"/>
      <c r="E913" s="55"/>
      <c r="F913" s="55"/>
      <c r="K913" s="55"/>
      <c r="L913" s="55"/>
    </row>
    <row r="914">
      <c r="B914" s="28"/>
      <c r="C914" s="28"/>
      <c r="E914" s="55"/>
      <c r="F914" s="55"/>
      <c r="K914" s="55"/>
      <c r="L914" s="55"/>
    </row>
    <row r="915">
      <c r="B915" s="28"/>
      <c r="C915" s="28"/>
      <c r="E915" s="55"/>
      <c r="F915" s="55"/>
      <c r="K915" s="55"/>
      <c r="L915" s="55"/>
    </row>
    <row r="916">
      <c r="B916" s="28"/>
      <c r="C916" s="28"/>
      <c r="E916" s="55"/>
      <c r="F916" s="55"/>
      <c r="K916" s="55"/>
      <c r="L916" s="55"/>
    </row>
    <row r="917">
      <c r="B917" s="28"/>
      <c r="C917" s="28"/>
      <c r="E917" s="55"/>
      <c r="F917" s="55"/>
      <c r="K917" s="55"/>
      <c r="L917" s="55"/>
    </row>
    <row r="918">
      <c r="B918" s="28"/>
      <c r="C918" s="28"/>
      <c r="E918" s="55"/>
      <c r="F918" s="55"/>
      <c r="K918" s="55"/>
      <c r="L918" s="55"/>
    </row>
    <row r="919">
      <c r="B919" s="28"/>
      <c r="C919" s="28"/>
      <c r="E919" s="55"/>
      <c r="F919" s="55"/>
      <c r="K919" s="55"/>
      <c r="L919" s="55"/>
    </row>
    <row r="920">
      <c r="B920" s="28"/>
      <c r="C920" s="28"/>
      <c r="E920" s="55"/>
      <c r="F920" s="55"/>
      <c r="K920" s="55"/>
      <c r="L920" s="55"/>
    </row>
    <row r="921">
      <c r="B921" s="28"/>
      <c r="C921" s="28"/>
      <c r="E921" s="55"/>
      <c r="F921" s="55"/>
      <c r="K921" s="55"/>
      <c r="L921" s="55"/>
    </row>
    <row r="922">
      <c r="B922" s="28"/>
      <c r="C922" s="28"/>
      <c r="E922" s="55"/>
      <c r="F922" s="55"/>
      <c r="K922" s="55"/>
      <c r="L922" s="55"/>
    </row>
    <row r="923">
      <c r="B923" s="28"/>
      <c r="C923" s="28"/>
      <c r="E923" s="55"/>
      <c r="F923" s="55"/>
      <c r="K923" s="55"/>
      <c r="L923" s="55"/>
    </row>
    <row r="924">
      <c r="B924" s="28"/>
      <c r="C924" s="28"/>
      <c r="E924" s="55"/>
      <c r="F924" s="55"/>
      <c r="K924" s="55"/>
      <c r="L924" s="55"/>
    </row>
    <row r="925">
      <c r="B925" s="28"/>
      <c r="C925" s="28"/>
      <c r="E925" s="55"/>
      <c r="F925" s="55"/>
      <c r="K925" s="55"/>
      <c r="L925" s="55"/>
    </row>
    <row r="926">
      <c r="B926" s="28"/>
      <c r="C926" s="28"/>
      <c r="E926" s="55"/>
      <c r="F926" s="55"/>
      <c r="K926" s="55"/>
      <c r="L926" s="55"/>
    </row>
    <row r="927">
      <c r="B927" s="28"/>
      <c r="C927" s="28"/>
      <c r="E927" s="55"/>
      <c r="F927" s="55"/>
      <c r="K927" s="55"/>
      <c r="L927" s="55"/>
    </row>
    <row r="928">
      <c r="B928" s="28"/>
      <c r="C928" s="28"/>
      <c r="E928" s="55"/>
      <c r="F928" s="55"/>
      <c r="K928" s="55"/>
      <c r="L928" s="55"/>
    </row>
    <row r="929">
      <c r="B929" s="28"/>
      <c r="C929" s="28"/>
      <c r="E929" s="55"/>
      <c r="F929" s="55"/>
      <c r="K929" s="55"/>
      <c r="L929" s="55"/>
    </row>
    <row r="930">
      <c r="B930" s="28"/>
      <c r="C930" s="28"/>
      <c r="E930" s="55"/>
      <c r="F930" s="55"/>
      <c r="K930" s="55"/>
      <c r="L930" s="55"/>
    </row>
    <row r="931">
      <c r="B931" s="28"/>
      <c r="C931" s="28"/>
      <c r="E931" s="55"/>
      <c r="F931" s="55"/>
      <c r="K931" s="55"/>
      <c r="L931" s="55"/>
    </row>
    <row r="932">
      <c r="B932" s="28"/>
      <c r="C932" s="28"/>
      <c r="E932" s="55"/>
      <c r="F932" s="55"/>
      <c r="K932" s="55"/>
      <c r="L932" s="55"/>
    </row>
    <row r="933">
      <c r="B933" s="28"/>
      <c r="C933" s="28"/>
      <c r="E933" s="55"/>
      <c r="F933" s="55"/>
      <c r="K933" s="55"/>
      <c r="L933" s="55"/>
    </row>
    <row r="934">
      <c r="B934" s="28"/>
      <c r="C934" s="28"/>
      <c r="E934" s="55"/>
      <c r="F934" s="55"/>
      <c r="K934" s="55"/>
      <c r="L934" s="55"/>
    </row>
    <row r="935">
      <c r="B935" s="28"/>
      <c r="C935" s="28"/>
      <c r="E935" s="55"/>
      <c r="F935" s="55"/>
      <c r="K935" s="55"/>
      <c r="L935" s="55"/>
    </row>
    <row r="936">
      <c r="B936" s="28"/>
      <c r="C936" s="28"/>
      <c r="E936" s="55"/>
      <c r="F936" s="55"/>
      <c r="K936" s="55"/>
      <c r="L936" s="55"/>
    </row>
    <row r="937">
      <c r="B937" s="28"/>
      <c r="C937" s="28"/>
      <c r="E937" s="55"/>
      <c r="F937" s="55"/>
      <c r="K937" s="55"/>
      <c r="L937" s="55"/>
    </row>
    <row r="938">
      <c r="B938" s="28"/>
      <c r="C938" s="28"/>
      <c r="E938" s="55"/>
      <c r="F938" s="55"/>
      <c r="K938" s="55"/>
      <c r="L938" s="55"/>
    </row>
    <row r="939">
      <c r="B939" s="28"/>
      <c r="C939" s="28"/>
      <c r="E939" s="55"/>
      <c r="F939" s="55"/>
      <c r="K939" s="55"/>
      <c r="L939" s="55"/>
    </row>
    <row r="940">
      <c r="B940" s="28"/>
      <c r="C940" s="28"/>
      <c r="E940" s="55"/>
      <c r="F940" s="55"/>
      <c r="K940" s="55"/>
      <c r="L940" s="55"/>
    </row>
    <row r="941">
      <c r="B941" s="28"/>
      <c r="C941" s="28"/>
      <c r="E941" s="55"/>
      <c r="F941" s="55"/>
      <c r="K941" s="55"/>
      <c r="L941" s="55"/>
    </row>
    <row r="942">
      <c r="B942" s="28"/>
      <c r="C942" s="28"/>
      <c r="E942" s="55"/>
      <c r="F942" s="55"/>
      <c r="K942" s="55"/>
      <c r="L942" s="55"/>
    </row>
    <row r="943">
      <c r="B943" s="28"/>
      <c r="C943" s="28"/>
      <c r="E943" s="55"/>
      <c r="F943" s="55"/>
      <c r="K943" s="55"/>
      <c r="L943" s="55"/>
    </row>
    <row r="944">
      <c r="B944" s="28"/>
      <c r="C944" s="28"/>
      <c r="E944" s="55"/>
      <c r="F944" s="55"/>
      <c r="K944" s="55"/>
      <c r="L944" s="55"/>
    </row>
    <row r="945">
      <c r="B945" s="28"/>
      <c r="C945" s="28"/>
      <c r="E945" s="55"/>
      <c r="F945" s="55"/>
      <c r="K945" s="55"/>
      <c r="L945" s="55"/>
    </row>
    <row r="946">
      <c r="B946" s="28"/>
      <c r="C946" s="28"/>
      <c r="E946" s="55"/>
      <c r="F946" s="55"/>
      <c r="K946" s="55"/>
      <c r="L946" s="55"/>
    </row>
    <row r="947">
      <c r="B947" s="28"/>
      <c r="C947" s="28"/>
      <c r="E947" s="55"/>
      <c r="F947" s="55"/>
      <c r="K947" s="55"/>
      <c r="L947" s="55"/>
    </row>
    <row r="948">
      <c r="B948" s="28"/>
      <c r="C948" s="28"/>
      <c r="E948" s="55"/>
      <c r="F948" s="55"/>
      <c r="K948" s="55"/>
      <c r="L948" s="55"/>
    </row>
    <row r="949">
      <c r="B949" s="28"/>
      <c r="C949" s="28"/>
      <c r="E949" s="55"/>
      <c r="F949" s="55"/>
      <c r="K949" s="55"/>
      <c r="L949" s="55"/>
    </row>
    <row r="950">
      <c r="B950" s="28"/>
      <c r="C950" s="28"/>
      <c r="E950" s="55"/>
      <c r="F950" s="55"/>
      <c r="K950" s="55"/>
      <c r="L950" s="55"/>
    </row>
    <row r="951">
      <c r="B951" s="28"/>
      <c r="C951" s="28"/>
      <c r="E951" s="55"/>
      <c r="F951" s="55"/>
      <c r="K951" s="55"/>
      <c r="L951" s="55"/>
    </row>
    <row r="952">
      <c r="B952" s="28"/>
      <c r="C952" s="28"/>
      <c r="E952" s="55"/>
      <c r="F952" s="55"/>
      <c r="K952" s="55"/>
      <c r="L952" s="55"/>
    </row>
    <row r="953">
      <c r="B953" s="28"/>
      <c r="C953" s="28"/>
      <c r="E953" s="55"/>
      <c r="F953" s="55"/>
      <c r="K953" s="55"/>
      <c r="L953" s="55"/>
    </row>
    <row r="954">
      <c r="B954" s="28"/>
      <c r="C954" s="28"/>
      <c r="E954" s="55"/>
      <c r="F954" s="55"/>
      <c r="K954" s="55"/>
      <c r="L954" s="55"/>
    </row>
    <row r="955">
      <c r="B955" s="28"/>
      <c r="C955" s="28"/>
      <c r="E955" s="55"/>
      <c r="F955" s="55"/>
      <c r="K955" s="55"/>
      <c r="L955" s="55"/>
    </row>
    <row r="956">
      <c r="B956" s="28"/>
      <c r="C956" s="28"/>
      <c r="E956" s="55"/>
      <c r="F956" s="55"/>
      <c r="K956" s="55"/>
      <c r="L956" s="55"/>
    </row>
    <row r="957">
      <c r="B957" s="28"/>
      <c r="C957" s="28"/>
      <c r="E957" s="55"/>
      <c r="F957" s="55"/>
      <c r="K957" s="55"/>
      <c r="L957" s="55"/>
    </row>
    <row r="958">
      <c r="B958" s="28"/>
      <c r="C958" s="28"/>
      <c r="E958" s="55"/>
      <c r="F958" s="55"/>
      <c r="K958" s="55"/>
      <c r="L958" s="55"/>
    </row>
    <row r="959">
      <c r="B959" s="28"/>
      <c r="C959" s="28"/>
      <c r="E959" s="55"/>
      <c r="F959" s="55"/>
      <c r="K959" s="55"/>
      <c r="L959" s="55"/>
    </row>
    <row r="960">
      <c r="B960" s="28"/>
      <c r="C960" s="28"/>
      <c r="E960" s="55"/>
      <c r="F960" s="55"/>
      <c r="K960" s="55"/>
      <c r="L960" s="55"/>
    </row>
    <row r="961">
      <c r="B961" s="28"/>
      <c r="C961" s="28"/>
      <c r="E961" s="55"/>
      <c r="F961" s="55"/>
      <c r="K961" s="55"/>
      <c r="L961" s="55"/>
    </row>
    <row r="962">
      <c r="B962" s="28"/>
      <c r="C962" s="28"/>
      <c r="E962" s="55"/>
      <c r="F962" s="55"/>
      <c r="K962" s="55"/>
      <c r="L962" s="55"/>
    </row>
    <row r="963">
      <c r="B963" s="28"/>
      <c r="C963" s="28"/>
      <c r="E963" s="55"/>
      <c r="F963" s="55"/>
      <c r="K963" s="55"/>
      <c r="L963" s="55"/>
    </row>
    <row r="964">
      <c r="B964" s="28"/>
      <c r="C964" s="28"/>
      <c r="E964" s="55"/>
      <c r="F964" s="55"/>
      <c r="K964" s="55"/>
      <c r="L964" s="55"/>
    </row>
    <row r="965">
      <c r="B965" s="28"/>
      <c r="C965" s="28"/>
      <c r="E965" s="55"/>
      <c r="F965" s="55"/>
      <c r="K965" s="55"/>
      <c r="L965" s="55"/>
    </row>
    <row r="966">
      <c r="B966" s="28"/>
      <c r="C966" s="28"/>
      <c r="E966" s="55"/>
      <c r="F966" s="55"/>
      <c r="K966" s="55"/>
      <c r="L966" s="55"/>
    </row>
    <row r="967">
      <c r="B967" s="28"/>
      <c r="C967" s="28"/>
      <c r="E967" s="55"/>
      <c r="F967" s="55"/>
      <c r="K967" s="55"/>
      <c r="L967" s="55"/>
    </row>
    <row r="968">
      <c r="B968" s="28"/>
      <c r="C968" s="28"/>
      <c r="E968" s="55"/>
      <c r="F968" s="55"/>
      <c r="K968" s="55"/>
      <c r="L968" s="55"/>
    </row>
    <row r="969">
      <c r="B969" s="28"/>
      <c r="C969" s="28"/>
      <c r="E969" s="55"/>
      <c r="F969" s="55"/>
      <c r="K969" s="55"/>
      <c r="L969" s="55"/>
    </row>
    <row r="970">
      <c r="B970" s="28"/>
      <c r="C970" s="28"/>
      <c r="E970" s="55"/>
      <c r="F970" s="55"/>
      <c r="K970" s="55"/>
      <c r="L970" s="55"/>
    </row>
    <row r="971">
      <c r="B971" s="28"/>
      <c r="C971" s="28"/>
      <c r="E971" s="55"/>
      <c r="F971" s="55"/>
      <c r="K971" s="55"/>
      <c r="L971" s="55"/>
    </row>
    <row r="972">
      <c r="B972" s="28"/>
      <c r="C972" s="28"/>
      <c r="E972" s="55"/>
      <c r="F972" s="55"/>
      <c r="K972" s="55"/>
      <c r="L972" s="55"/>
    </row>
    <row r="973">
      <c r="B973" s="28"/>
      <c r="C973" s="28"/>
      <c r="E973" s="55"/>
      <c r="F973" s="55"/>
      <c r="K973" s="55"/>
      <c r="L973" s="55"/>
    </row>
    <row r="974">
      <c r="B974" s="28"/>
      <c r="C974" s="28"/>
      <c r="E974" s="55"/>
      <c r="F974" s="55"/>
      <c r="K974" s="55"/>
      <c r="L974" s="55"/>
    </row>
    <row r="975">
      <c r="B975" s="28"/>
      <c r="C975" s="28"/>
      <c r="E975" s="55"/>
      <c r="F975" s="55"/>
      <c r="K975" s="55"/>
      <c r="L975" s="55"/>
    </row>
    <row r="976">
      <c r="B976" s="28"/>
      <c r="C976" s="28"/>
      <c r="E976" s="55"/>
      <c r="F976" s="55"/>
      <c r="K976" s="55"/>
      <c r="L976" s="55"/>
    </row>
    <row r="977">
      <c r="B977" s="28"/>
      <c r="C977" s="28"/>
      <c r="E977" s="55"/>
      <c r="F977" s="55"/>
      <c r="K977" s="55"/>
      <c r="L977" s="55"/>
    </row>
    <row r="978">
      <c r="B978" s="28"/>
      <c r="C978" s="28"/>
      <c r="E978" s="55"/>
      <c r="F978" s="55"/>
      <c r="K978" s="55"/>
      <c r="L978" s="55"/>
    </row>
    <row r="979">
      <c r="B979" s="28"/>
      <c r="C979" s="28"/>
      <c r="E979" s="55"/>
      <c r="F979" s="55"/>
      <c r="K979" s="55"/>
      <c r="L979" s="55"/>
    </row>
    <row r="980">
      <c r="B980" s="28"/>
      <c r="C980" s="28"/>
      <c r="E980" s="55"/>
      <c r="F980" s="55"/>
      <c r="K980" s="55"/>
      <c r="L980" s="55"/>
    </row>
    <row r="981">
      <c r="B981" s="28"/>
      <c r="C981" s="28"/>
      <c r="E981" s="55"/>
      <c r="F981" s="55"/>
      <c r="K981" s="55"/>
      <c r="L981" s="55"/>
    </row>
    <row r="982">
      <c r="B982" s="28"/>
      <c r="C982" s="28"/>
      <c r="E982" s="55"/>
      <c r="F982" s="55"/>
      <c r="K982" s="55"/>
      <c r="L982" s="55"/>
    </row>
    <row r="983">
      <c r="B983" s="28"/>
      <c r="C983" s="28"/>
      <c r="E983" s="55"/>
      <c r="F983" s="55"/>
      <c r="K983" s="55"/>
      <c r="L983" s="55"/>
    </row>
    <row r="984">
      <c r="B984" s="28"/>
      <c r="C984" s="28"/>
      <c r="E984" s="55"/>
      <c r="F984" s="55"/>
      <c r="K984" s="55"/>
      <c r="L984" s="55"/>
    </row>
    <row r="985">
      <c r="B985" s="28"/>
      <c r="C985" s="28"/>
      <c r="E985" s="55"/>
      <c r="F985" s="55"/>
      <c r="K985" s="55"/>
      <c r="L985" s="55"/>
    </row>
    <row r="986">
      <c r="B986" s="28"/>
      <c r="C986" s="28"/>
      <c r="E986" s="55"/>
      <c r="F986" s="55"/>
      <c r="K986" s="55"/>
      <c r="L986" s="55"/>
    </row>
    <row r="987">
      <c r="B987" s="28"/>
      <c r="C987" s="28"/>
      <c r="E987" s="55"/>
      <c r="F987" s="55"/>
      <c r="K987" s="55"/>
      <c r="L987" s="55"/>
    </row>
    <row r="988">
      <c r="B988" s="28"/>
      <c r="C988" s="28"/>
      <c r="E988" s="55"/>
      <c r="F988" s="55"/>
      <c r="K988" s="55"/>
      <c r="L988" s="55"/>
    </row>
    <row r="989">
      <c r="B989" s="28"/>
      <c r="C989" s="28"/>
      <c r="E989" s="55"/>
      <c r="F989" s="55"/>
      <c r="K989" s="55"/>
      <c r="L989" s="55"/>
    </row>
    <row r="990">
      <c r="B990" s="28"/>
      <c r="C990" s="28"/>
      <c r="E990" s="55"/>
      <c r="F990" s="55"/>
      <c r="K990" s="55"/>
      <c r="L990" s="55"/>
    </row>
    <row r="991">
      <c r="B991" s="28"/>
      <c r="C991" s="28"/>
      <c r="E991" s="55"/>
      <c r="F991" s="55"/>
      <c r="K991" s="55"/>
      <c r="L991" s="55"/>
    </row>
    <row r="992">
      <c r="B992" s="28"/>
      <c r="C992" s="28"/>
      <c r="E992" s="55"/>
      <c r="F992" s="55"/>
      <c r="K992" s="55"/>
      <c r="L992" s="55"/>
    </row>
    <row r="993">
      <c r="B993" s="28"/>
      <c r="C993" s="28"/>
      <c r="E993" s="55"/>
      <c r="F993" s="55"/>
      <c r="K993" s="55"/>
      <c r="L993" s="55"/>
    </row>
    <row r="994">
      <c r="B994" s="28"/>
      <c r="C994" s="28"/>
      <c r="E994" s="55"/>
      <c r="F994" s="55"/>
      <c r="K994" s="55"/>
      <c r="L994" s="55"/>
    </row>
    <row r="995">
      <c r="B995" s="28"/>
      <c r="C995" s="28"/>
      <c r="E995" s="55"/>
      <c r="F995" s="55"/>
      <c r="K995" s="55"/>
      <c r="L995" s="55"/>
    </row>
    <row r="996">
      <c r="B996" s="28"/>
      <c r="C996" s="28"/>
      <c r="E996" s="55"/>
      <c r="F996" s="55"/>
      <c r="K996" s="55"/>
      <c r="L996" s="55"/>
    </row>
    <row r="997">
      <c r="B997" s="28"/>
      <c r="C997" s="28"/>
      <c r="E997" s="55"/>
      <c r="F997" s="55"/>
      <c r="K997" s="55"/>
      <c r="L997" s="55"/>
    </row>
    <row r="998">
      <c r="B998" s="28"/>
      <c r="C998" s="28"/>
      <c r="E998" s="55"/>
      <c r="F998" s="55"/>
      <c r="K998" s="55"/>
      <c r="L998" s="55"/>
    </row>
    <row r="999">
      <c r="B999" s="28"/>
      <c r="C999" s="28"/>
      <c r="E999" s="55"/>
      <c r="F999" s="55"/>
      <c r="K999" s="55"/>
      <c r="L999" s="55"/>
    </row>
    <row r="1000">
      <c r="B1000" s="28"/>
      <c r="C1000" s="28"/>
      <c r="E1000" s="55"/>
      <c r="F1000" s="55"/>
      <c r="K1000" s="55"/>
      <c r="L1000" s="55"/>
    </row>
    <row r="1001">
      <c r="B1001" s="28"/>
      <c r="C1001" s="28"/>
      <c r="E1001" s="55"/>
      <c r="F1001" s="55"/>
      <c r="K1001" s="55"/>
      <c r="L1001" s="55"/>
    </row>
    <row r="1002">
      <c r="B1002" s="28"/>
      <c r="C1002" s="28"/>
      <c r="E1002" s="55"/>
      <c r="F1002" s="55"/>
      <c r="K1002" s="55"/>
      <c r="L1002" s="55"/>
    </row>
    <row r="1003">
      <c r="B1003" s="28"/>
      <c r="C1003" s="28"/>
      <c r="E1003" s="55"/>
      <c r="F1003" s="55"/>
      <c r="K1003" s="55"/>
      <c r="L1003" s="55"/>
    </row>
    <row r="1004">
      <c r="B1004" s="28"/>
      <c r="C1004" s="28"/>
      <c r="E1004" s="55"/>
      <c r="F1004" s="55"/>
      <c r="K1004" s="55"/>
      <c r="L1004" s="55"/>
    </row>
    <row r="1005">
      <c r="B1005" s="28"/>
      <c r="C1005" s="28"/>
      <c r="E1005" s="55"/>
      <c r="F1005" s="55"/>
      <c r="K1005" s="55"/>
      <c r="L1005" s="55"/>
    </row>
    <row r="1006">
      <c r="B1006" s="28"/>
      <c r="C1006" s="28"/>
      <c r="E1006" s="55"/>
      <c r="F1006" s="55"/>
      <c r="K1006" s="55"/>
      <c r="L1006" s="55"/>
    </row>
    <row r="1007">
      <c r="B1007" s="28"/>
      <c r="C1007" s="28"/>
      <c r="E1007" s="55"/>
      <c r="F1007" s="55"/>
      <c r="K1007" s="55"/>
      <c r="L1007" s="55"/>
    </row>
    <row r="1008">
      <c r="B1008" s="28"/>
      <c r="C1008" s="28"/>
      <c r="E1008" s="55"/>
      <c r="F1008" s="55"/>
      <c r="K1008" s="55"/>
      <c r="L1008" s="55"/>
    </row>
    <row r="1009">
      <c r="B1009" s="28"/>
      <c r="C1009" s="28"/>
      <c r="E1009" s="55"/>
      <c r="F1009" s="55"/>
      <c r="K1009" s="55"/>
      <c r="L1009" s="55"/>
    </row>
    <row r="1010">
      <c r="B1010" s="28"/>
      <c r="C1010" s="28"/>
      <c r="E1010" s="55"/>
      <c r="F1010" s="55"/>
      <c r="K1010" s="55"/>
      <c r="L1010" s="55"/>
    </row>
    <row r="1011">
      <c r="B1011" s="28"/>
      <c r="C1011" s="28"/>
      <c r="E1011" s="55"/>
      <c r="F1011" s="55"/>
      <c r="K1011" s="55"/>
      <c r="L1011" s="55"/>
    </row>
    <row r="1012">
      <c r="B1012" s="28"/>
      <c r="C1012" s="28"/>
      <c r="E1012" s="55"/>
      <c r="F1012" s="55"/>
      <c r="K1012" s="55"/>
      <c r="L1012" s="55"/>
    </row>
    <row r="1013">
      <c r="B1013" s="28"/>
      <c r="C1013" s="28"/>
      <c r="E1013" s="55"/>
      <c r="F1013" s="55"/>
      <c r="K1013" s="55"/>
      <c r="L1013" s="55"/>
    </row>
    <row r="1014">
      <c r="B1014" s="28"/>
      <c r="C1014" s="28"/>
      <c r="E1014" s="55"/>
      <c r="F1014" s="55"/>
      <c r="K1014" s="55"/>
      <c r="L1014" s="55"/>
    </row>
    <row r="1015">
      <c r="B1015" s="28"/>
      <c r="C1015" s="28"/>
      <c r="E1015" s="55"/>
      <c r="F1015" s="55"/>
      <c r="K1015" s="55"/>
      <c r="L1015" s="55"/>
    </row>
    <row r="1016">
      <c r="B1016" s="28"/>
      <c r="C1016" s="28"/>
      <c r="E1016" s="55"/>
      <c r="F1016" s="55"/>
      <c r="K1016" s="55"/>
      <c r="L1016" s="55"/>
    </row>
    <row r="1017">
      <c r="B1017" s="28"/>
      <c r="C1017" s="28"/>
      <c r="E1017" s="55"/>
      <c r="F1017" s="55"/>
      <c r="K1017" s="55"/>
      <c r="L1017" s="55"/>
    </row>
    <row r="1018">
      <c r="B1018" s="28"/>
      <c r="C1018" s="28"/>
      <c r="E1018" s="55"/>
      <c r="F1018" s="55"/>
      <c r="K1018" s="55"/>
      <c r="L1018" s="55"/>
    </row>
    <row r="1019">
      <c r="B1019" s="28"/>
      <c r="C1019" s="28"/>
      <c r="E1019" s="55"/>
      <c r="F1019" s="55"/>
      <c r="K1019" s="55"/>
      <c r="L1019" s="55"/>
    </row>
    <row r="1020">
      <c r="B1020" s="28"/>
      <c r="C1020" s="28"/>
      <c r="E1020" s="55"/>
      <c r="F1020" s="55"/>
      <c r="K1020" s="55"/>
      <c r="L1020" s="55"/>
    </row>
    <row r="1021">
      <c r="B1021" s="28"/>
      <c r="C1021" s="28"/>
      <c r="E1021" s="55"/>
      <c r="F1021" s="55"/>
      <c r="K1021" s="55"/>
      <c r="L1021" s="55"/>
    </row>
    <row r="1022">
      <c r="B1022" s="28"/>
      <c r="C1022" s="28"/>
      <c r="E1022" s="55"/>
      <c r="F1022" s="55"/>
      <c r="K1022" s="55"/>
      <c r="L1022" s="55"/>
    </row>
    <row r="1023">
      <c r="B1023" s="28"/>
      <c r="C1023" s="28"/>
      <c r="E1023" s="55"/>
      <c r="F1023" s="55"/>
      <c r="K1023" s="55"/>
      <c r="L1023" s="55"/>
    </row>
    <row r="1024">
      <c r="B1024" s="28"/>
      <c r="C1024" s="28"/>
      <c r="E1024" s="55"/>
      <c r="F1024" s="55"/>
      <c r="K1024" s="55"/>
      <c r="L1024" s="55"/>
    </row>
    <row r="1025">
      <c r="B1025" s="28"/>
      <c r="C1025" s="28"/>
      <c r="E1025" s="55"/>
      <c r="F1025" s="55"/>
      <c r="K1025" s="55"/>
      <c r="L1025" s="55"/>
    </row>
    <row r="1026">
      <c r="B1026" s="28"/>
      <c r="C1026" s="28"/>
      <c r="E1026" s="55"/>
      <c r="F1026" s="55"/>
      <c r="K1026" s="55"/>
      <c r="L1026" s="55"/>
    </row>
    <row r="1027">
      <c r="B1027" s="28"/>
      <c r="C1027" s="28"/>
      <c r="E1027" s="55"/>
      <c r="F1027" s="55"/>
      <c r="K1027" s="55"/>
      <c r="L1027" s="55"/>
    </row>
    <row r="1028">
      <c r="B1028" s="28"/>
      <c r="C1028" s="28"/>
      <c r="E1028" s="55"/>
      <c r="F1028" s="55"/>
      <c r="K1028" s="55"/>
      <c r="L1028" s="55"/>
    </row>
    <row r="1029">
      <c r="B1029" s="28"/>
      <c r="C1029" s="28"/>
      <c r="E1029" s="55"/>
      <c r="F1029" s="55"/>
      <c r="K1029" s="55"/>
      <c r="L1029" s="55"/>
    </row>
    <row r="1030">
      <c r="B1030" s="28"/>
      <c r="C1030" s="28"/>
      <c r="E1030" s="55"/>
      <c r="F1030" s="55"/>
      <c r="K1030" s="55"/>
      <c r="L1030" s="55"/>
    </row>
    <row r="1031">
      <c r="B1031" s="28"/>
      <c r="C1031" s="28"/>
      <c r="E1031" s="55"/>
      <c r="F1031" s="55"/>
      <c r="K1031" s="55"/>
      <c r="L1031" s="55"/>
    </row>
    <row r="1032">
      <c r="B1032" s="28"/>
      <c r="C1032" s="28"/>
      <c r="E1032" s="55"/>
      <c r="F1032" s="55"/>
      <c r="K1032" s="55"/>
      <c r="L1032" s="55"/>
    </row>
    <row r="1033">
      <c r="B1033" s="28"/>
      <c r="C1033" s="28"/>
      <c r="E1033" s="55"/>
      <c r="F1033" s="55"/>
      <c r="K1033" s="55"/>
      <c r="L1033" s="55"/>
    </row>
    <row r="1034">
      <c r="B1034" s="28"/>
      <c r="C1034" s="28"/>
      <c r="E1034" s="55"/>
      <c r="F1034" s="55"/>
      <c r="K1034" s="55"/>
      <c r="L1034" s="55"/>
    </row>
    <row r="1035">
      <c r="B1035" s="28"/>
      <c r="C1035" s="28"/>
      <c r="E1035" s="55"/>
      <c r="F1035" s="55"/>
      <c r="K1035" s="55"/>
      <c r="L1035" s="55"/>
    </row>
    <row r="1036">
      <c r="B1036" s="28"/>
      <c r="C1036" s="28"/>
      <c r="E1036" s="55"/>
      <c r="F1036" s="55"/>
      <c r="K1036" s="55"/>
      <c r="L1036" s="55"/>
    </row>
    <row r="1037">
      <c r="B1037" s="28"/>
      <c r="C1037" s="28"/>
      <c r="E1037" s="55"/>
      <c r="F1037" s="55"/>
      <c r="K1037" s="55"/>
      <c r="L1037" s="55"/>
    </row>
  </sheetData>
  <mergeCells count="5">
    <mergeCell ref="A1:C1"/>
    <mergeCell ref="A2:C2"/>
    <mergeCell ref="A3:C3"/>
    <mergeCell ref="D4:H4"/>
    <mergeCell ref="J4:N4"/>
  </mergeCells>
  <hyperlinks>
    <hyperlink r:id="rId2" ref="G6"/>
    <hyperlink r:id="rId3" ref="M6"/>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19.63"/>
    <col customWidth="1" min="2" max="3" width="23.38"/>
    <col customWidth="1" min="4" max="8" width="15.13"/>
    <col customWidth="1" min="10" max="14" width="15.13"/>
  </cols>
  <sheetData>
    <row r="1">
      <c r="A1" s="3" t="s">
        <v>4</v>
      </c>
      <c r="D1" s="4"/>
      <c r="E1" s="5"/>
      <c r="F1" s="5"/>
      <c r="G1" s="4"/>
      <c r="H1" s="4"/>
      <c r="I1" s="6"/>
      <c r="J1" s="6"/>
      <c r="K1" s="7"/>
      <c r="L1" s="7"/>
      <c r="M1" s="6"/>
      <c r="N1" s="6"/>
      <c r="O1" s="6"/>
      <c r="P1" s="6"/>
      <c r="Q1" s="6"/>
      <c r="R1" s="6"/>
      <c r="S1" s="6"/>
      <c r="T1" s="6"/>
      <c r="U1" s="6"/>
      <c r="V1" s="6"/>
      <c r="W1" s="6"/>
      <c r="X1" s="6"/>
      <c r="Y1" s="6"/>
      <c r="Z1" s="6"/>
      <c r="AA1" s="6"/>
      <c r="AB1" s="6"/>
    </row>
    <row r="2">
      <c r="A2" s="3" t="s">
        <v>5</v>
      </c>
      <c r="D2" s="4"/>
      <c r="E2" s="5"/>
      <c r="F2" s="5"/>
      <c r="G2" s="4"/>
      <c r="H2" s="4"/>
      <c r="I2" s="6"/>
      <c r="J2" s="6"/>
      <c r="K2" s="7"/>
      <c r="L2" s="7"/>
      <c r="M2" s="6"/>
      <c r="N2" s="6"/>
      <c r="O2" s="6"/>
      <c r="P2" s="6"/>
      <c r="Q2" s="6"/>
      <c r="R2" s="6"/>
      <c r="S2" s="6"/>
      <c r="T2" s="6"/>
      <c r="U2" s="6"/>
      <c r="V2" s="6"/>
      <c r="W2" s="6"/>
      <c r="X2" s="6"/>
      <c r="Y2" s="6"/>
      <c r="Z2" s="6"/>
      <c r="AA2" s="6"/>
      <c r="AB2" s="6"/>
    </row>
    <row r="3">
      <c r="A3" s="3" t="s">
        <v>151</v>
      </c>
      <c r="D3" s="6"/>
      <c r="E3" s="5"/>
      <c r="F3" s="5"/>
      <c r="G3" s="4"/>
      <c r="H3" s="4"/>
      <c r="I3" s="6"/>
      <c r="J3" s="6"/>
      <c r="K3" s="7"/>
      <c r="L3" s="7"/>
      <c r="M3" s="6"/>
      <c r="N3" s="6"/>
      <c r="O3" s="6"/>
      <c r="P3" s="6"/>
      <c r="Q3" s="6"/>
      <c r="R3" s="6"/>
      <c r="S3" s="6"/>
      <c r="T3" s="6"/>
      <c r="U3" s="6"/>
      <c r="V3" s="6"/>
      <c r="W3" s="6"/>
      <c r="X3" s="6"/>
      <c r="Y3" s="6"/>
      <c r="Z3" s="6"/>
      <c r="AA3" s="6"/>
      <c r="AB3" s="6"/>
    </row>
    <row r="4">
      <c r="B4" s="8"/>
      <c r="C4" s="8"/>
      <c r="D4" s="9" t="s">
        <v>7</v>
      </c>
      <c r="J4" s="10" t="s">
        <v>8</v>
      </c>
    </row>
    <row r="5">
      <c r="B5" s="8"/>
      <c r="C5" s="8"/>
      <c r="D5" s="11" t="s">
        <v>9</v>
      </c>
      <c r="E5" s="12" t="s">
        <v>9</v>
      </c>
      <c r="F5" s="13" t="s">
        <v>9</v>
      </c>
      <c r="G5" s="1" t="s">
        <v>9</v>
      </c>
      <c r="H5" s="11" t="s">
        <v>9</v>
      </c>
      <c r="J5" s="11" t="s">
        <v>9</v>
      </c>
      <c r="K5" s="12" t="s">
        <v>9</v>
      </c>
      <c r="L5" s="13" t="s">
        <v>9</v>
      </c>
      <c r="M5" s="1" t="s">
        <v>9</v>
      </c>
      <c r="N5" s="11" t="s">
        <v>9</v>
      </c>
    </row>
    <row r="6">
      <c r="A6" s="14" t="s">
        <v>10</v>
      </c>
      <c r="B6" s="15" t="s">
        <v>11</v>
      </c>
      <c r="C6" s="15" t="s">
        <v>12</v>
      </c>
      <c r="D6" s="16" t="s">
        <v>13</v>
      </c>
      <c r="E6" s="17" t="s">
        <v>14</v>
      </c>
      <c r="F6" s="18" t="s">
        <v>15</v>
      </c>
      <c r="G6" s="19" t="s">
        <v>152</v>
      </c>
      <c r="H6" s="16" t="s">
        <v>17</v>
      </c>
      <c r="J6" s="16" t="s">
        <v>13</v>
      </c>
      <c r="K6" s="17" t="s">
        <v>14</v>
      </c>
      <c r="L6" s="18" t="s">
        <v>15</v>
      </c>
      <c r="M6" s="19" t="s">
        <v>153</v>
      </c>
      <c r="N6" s="16" t="s">
        <v>17</v>
      </c>
    </row>
    <row r="7">
      <c r="A7" s="20" t="s">
        <v>19</v>
      </c>
      <c r="B7" s="21" t="s">
        <v>20</v>
      </c>
      <c r="C7" s="22"/>
      <c r="D7" s="23"/>
      <c r="E7" s="24"/>
      <c r="F7" s="24"/>
      <c r="G7" s="23"/>
      <c r="H7" s="23"/>
      <c r="J7" s="23"/>
      <c r="K7" s="24"/>
      <c r="L7" s="24"/>
      <c r="M7" s="23"/>
      <c r="N7" s="23"/>
      <c r="O7" s="23"/>
      <c r="P7" s="23"/>
      <c r="Q7" s="23"/>
      <c r="R7" s="23"/>
      <c r="S7" s="23"/>
      <c r="T7" s="23"/>
      <c r="U7" s="23"/>
      <c r="V7" s="23"/>
      <c r="W7" s="23"/>
      <c r="X7" s="23"/>
      <c r="Y7" s="23"/>
      <c r="Z7" s="23"/>
      <c r="AA7" s="23"/>
      <c r="AB7" s="23"/>
    </row>
    <row r="8">
      <c r="A8" s="1" t="s">
        <v>21</v>
      </c>
      <c r="B8" s="8" t="s">
        <v>22</v>
      </c>
      <c r="C8" s="8" t="s">
        <v>23</v>
      </c>
      <c r="D8" s="11">
        <v>13476.0</v>
      </c>
      <c r="E8" s="12">
        <v>11829.01</v>
      </c>
      <c r="F8" s="13">
        <v>11829.01174346</v>
      </c>
      <c r="H8" s="40"/>
      <c r="J8" s="25">
        <v>3819.346</v>
      </c>
      <c r="K8" s="12">
        <v>3173.48012854429</v>
      </c>
      <c r="L8" s="25">
        <v>3173.48012854</v>
      </c>
      <c r="N8" s="27"/>
    </row>
    <row r="9">
      <c r="A9" s="1" t="s">
        <v>25</v>
      </c>
      <c r="B9" s="8" t="s">
        <v>26</v>
      </c>
      <c r="C9" s="28"/>
      <c r="D9" s="13">
        <v>6.189576</v>
      </c>
      <c r="E9" s="12">
        <v>5.869</v>
      </c>
      <c r="F9" s="13">
        <v>5.86</v>
      </c>
      <c r="H9" s="40"/>
      <c r="J9" s="25">
        <v>4.908907</v>
      </c>
      <c r="K9" s="12">
        <v>5.131</v>
      </c>
      <c r="L9" s="25">
        <v>4.593</v>
      </c>
      <c r="N9" s="27"/>
    </row>
    <row r="10">
      <c r="A10" s="1" t="s">
        <v>28</v>
      </c>
      <c r="B10" s="8" t="s">
        <v>29</v>
      </c>
      <c r="C10" s="8" t="s">
        <v>30</v>
      </c>
      <c r="D10" s="11">
        <v>0.86</v>
      </c>
      <c r="E10" s="12">
        <v>0.834065197408663</v>
      </c>
      <c r="F10" s="13">
        <v>0.9</v>
      </c>
      <c r="H10" s="40"/>
      <c r="J10" s="29">
        <v>0.86</v>
      </c>
      <c r="K10" s="12">
        <v>0.834065197408663</v>
      </c>
      <c r="L10" s="13">
        <v>0.9</v>
      </c>
      <c r="N10" s="27"/>
    </row>
    <row r="11">
      <c r="A11" s="1" t="s">
        <v>31</v>
      </c>
      <c r="B11" s="8" t="s">
        <v>32</v>
      </c>
      <c r="C11" s="8" t="s">
        <v>33</v>
      </c>
      <c r="D11" s="11">
        <v>14.8</v>
      </c>
      <c r="E11" s="12">
        <v>14.7927</v>
      </c>
      <c r="F11" s="13">
        <v>14.66</v>
      </c>
      <c r="H11" s="40"/>
      <c r="J11" s="29">
        <v>14.8</v>
      </c>
      <c r="K11" s="12">
        <v>14.7927</v>
      </c>
      <c r="L11" s="13">
        <v>14.66</v>
      </c>
      <c r="N11" s="27"/>
    </row>
    <row r="12">
      <c r="A12" s="1" t="s">
        <v>34</v>
      </c>
      <c r="B12" s="8" t="s">
        <v>35</v>
      </c>
      <c r="C12" s="8" t="s">
        <v>36</v>
      </c>
      <c r="D12" s="11">
        <v>7.87</v>
      </c>
      <c r="E12" s="12">
        <v>7.87</v>
      </c>
      <c r="F12" s="13">
        <v>7.87</v>
      </c>
      <c r="H12" s="40"/>
      <c r="J12" s="25">
        <v>7.87</v>
      </c>
      <c r="K12" s="12">
        <v>7.87</v>
      </c>
      <c r="L12" s="13">
        <v>7.87</v>
      </c>
      <c r="N12" s="27"/>
    </row>
    <row r="13">
      <c r="A13" s="1" t="s">
        <v>38</v>
      </c>
      <c r="B13" s="8" t="s">
        <v>39</v>
      </c>
      <c r="C13" s="8" t="s">
        <v>40</v>
      </c>
      <c r="D13" s="13">
        <v>427518.2</v>
      </c>
      <c r="E13" s="12">
        <v>427518.213511999</v>
      </c>
      <c r="F13" s="56">
        <f>42.75182135*10000</f>
        <v>427518.2135</v>
      </c>
      <c r="H13" s="40"/>
      <c r="J13" s="25">
        <v>427518.2</v>
      </c>
      <c r="K13" s="12">
        <v>427518.213511999</v>
      </c>
      <c r="L13" s="56">
        <f>42.75182135*100*100</f>
        <v>427518.2135</v>
      </c>
      <c r="N13" s="27"/>
    </row>
    <row r="14">
      <c r="A14" s="31" t="s">
        <v>42</v>
      </c>
      <c r="B14" s="8" t="s">
        <v>43</v>
      </c>
      <c r="C14" s="8" t="s">
        <v>44</v>
      </c>
      <c r="D14" s="13">
        <v>500.0</v>
      </c>
      <c r="E14" s="12">
        <v>500.0</v>
      </c>
      <c r="F14" s="13">
        <v>500.0</v>
      </c>
      <c r="H14" s="40"/>
      <c r="J14" s="25">
        <v>1000.0</v>
      </c>
      <c r="K14" s="12">
        <v>1000.0</v>
      </c>
      <c r="L14" s="13">
        <v>1000.0</v>
      </c>
      <c r="N14" s="27"/>
    </row>
    <row r="15">
      <c r="A15" s="32" t="s">
        <v>46</v>
      </c>
      <c r="B15" s="8" t="s">
        <v>47</v>
      </c>
      <c r="C15" s="8" t="s">
        <v>44</v>
      </c>
      <c r="D15" s="11">
        <v>100.0</v>
      </c>
      <c r="E15" s="12">
        <v>100.0</v>
      </c>
      <c r="F15" s="13">
        <v>100.0</v>
      </c>
      <c r="H15" s="40"/>
      <c r="J15" s="25">
        <v>200.0</v>
      </c>
      <c r="K15" s="12">
        <v>200.0</v>
      </c>
      <c r="L15" s="13">
        <v>200.0</v>
      </c>
      <c r="N15" s="27"/>
    </row>
    <row r="16">
      <c r="A16" s="1" t="s">
        <v>49</v>
      </c>
      <c r="B16" s="8" t="s">
        <v>50</v>
      </c>
      <c r="C16" s="28"/>
      <c r="D16" s="11">
        <v>3.0</v>
      </c>
      <c r="E16" s="12">
        <v>3.0</v>
      </c>
      <c r="F16" s="13">
        <v>3.0</v>
      </c>
      <c r="H16" s="40"/>
      <c r="J16" s="29">
        <v>3.0</v>
      </c>
      <c r="K16" s="12">
        <v>3.0</v>
      </c>
      <c r="L16" s="13">
        <v>3.0</v>
      </c>
      <c r="N16" s="27"/>
    </row>
    <row r="17">
      <c r="A17" s="1" t="s">
        <v>51</v>
      </c>
      <c r="B17" s="8" t="s">
        <v>52</v>
      </c>
      <c r="C17" s="28"/>
      <c r="D17" s="11">
        <v>7.0</v>
      </c>
      <c r="E17" s="12">
        <v>7.0</v>
      </c>
      <c r="F17" s="13">
        <v>7.0</v>
      </c>
      <c r="H17" s="40"/>
      <c r="J17" s="29">
        <v>7.0</v>
      </c>
      <c r="K17" s="12">
        <v>7.0</v>
      </c>
      <c r="L17" s="13">
        <v>7.0</v>
      </c>
      <c r="N17" s="27"/>
    </row>
    <row r="18">
      <c r="A18" s="1" t="s">
        <v>54</v>
      </c>
      <c r="B18" s="8" t="s">
        <v>55</v>
      </c>
      <c r="C18" s="8" t="s">
        <v>56</v>
      </c>
      <c r="D18" s="13">
        <v>8249.895</v>
      </c>
      <c r="E18" s="12">
        <v>8280.0</v>
      </c>
      <c r="F18" s="56">
        <f>0.0958333*86400</f>
        <v>8279.99712</v>
      </c>
      <c r="H18" s="40"/>
      <c r="J18" s="25">
        <v>8249.895</v>
      </c>
      <c r="K18" s="12">
        <v>8280.0</v>
      </c>
      <c r="L18" s="56">
        <f>0.0958333*86400</f>
        <v>8279.99712</v>
      </c>
      <c r="N18" s="27"/>
    </row>
    <row r="19">
      <c r="A19" s="1" t="s">
        <v>57</v>
      </c>
      <c r="B19" s="8" t="s">
        <v>58</v>
      </c>
      <c r="C19" s="28"/>
      <c r="D19" s="11">
        <v>1.1</v>
      </c>
      <c r="E19" s="12">
        <v>1.1</v>
      </c>
      <c r="F19" s="13">
        <v>1.0</v>
      </c>
      <c r="H19" s="40"/>
      <c r="J19" s="25">
        <v>1.1</v>
      </c>
      <c r="K19" s="12">
        <v>1.1</v>
      </c>
      <c r="L19" s="13">
        <v>1.0</v>
      </c>
      <c r="N19" s="27"/>
    </row>
    <row r="20">
      <c r="A20" s="1" t="s">
        <v>59</v>
      </c>
      <c r="B20" s="8" t="s">
        <v>60</v>
      </c>
      <c r="C20" s="8" t="s">
        <v>61</v>
      </c>
      <c r="D20" s="13">
        <v>3.0E-5</v>
      </c>
      <c r="E20" s="12">
        <v>3.0E-5</v>
      </c>
      <c r="F20" s="13">
        <v>3.0E-5</v>
      </c>
      <c r="H20" s="40"/>
      <c r="J20" s="25">
        <v>3.0E-5</v>
      </c>
      <c r="K20" s="12">
        <v>3.0E-5</v>
      </c>
      <c r="L20" s="13">
        <v>3.0E-5</v>
      </c>
      <c r="N20" s="27"/>
    </row>
    <row r="21">
      <c r="A21" s="1" t="s">
        <v>62</v>
      </c>
      <c r="B21" s="8" t="s">
        <v>63</v>
      </c>
      <c r="C21" s="8" t="s">
        <v>64</v>
      </c>
      <c r="D21" s="13">
        <v>0.0</v>
      </c>
      <c r="E21" s="12">
        <v>0.0</v>
      </c>
      <c r="F21" s="13">
        <v>0.0</v>
      </c>
      <c r="H21" s="40"/>
      <c r="J21" s="25">
        <v>0.0</v>
      </c>
      <c r="K21" s="12">
        <v>0.0</v>
      </c>
      <c r="L21" s="13">
        <v>0.0</v>
      </c>
      <c r="N21" s="27"/>
    </row>
    <row r="22">
      <c r="A22" s="1" t="s">
        <v>65</v>
      </c>
      <c r="B22" s="8" t="s">
        <v>66</v>
      </c>
      <c r="C22" s="8" t="s">
        <v>67</v>
      </c>
      <c r="D22" s="13">
        <v>0.0013</v>
      </c>
      <c r="E22" s="12">
        <v>0.0013</v>
      </c>
      <c r="F22" s="13">
        <v>0.0013</v>
      </c>
      <c r="H22" s="40"/>
      <c r="J22" s="25">
        <v>0.0013</v>
      </c>
      <c r="K22" s="12">
        <v>0.0013</v>
      </c>
      <c r="L22" s="13">
        <v>0.0013</v>
      </c>
      <c r="N22" s="27"/>
    </row>
    <row r="23">
      <c r="A23" s="1" t="s">
        <v>68</v>
      </c>
      <c r="B23" s="8" t="s">
        <v>69</v>
      </c>
      <c r="C23" s="8" t="s">
        <v>56</v>
      </c>
      <c r="D23" s="13">
        <v>1000.0</v>
      </c>
      <c r="E23" s="12" t="s">
        <v>70</v>
      </c>
      <c r="F23" s="56"/>
      <c r="H23" s="40"/>
      <c r="J23" s="25">
        <v>1000.0</v>
      </c>
      <c r="K23" s="12" t="s">
        <v>70</v>
      </c>
      <c r="L23" s="56"/>
      <c r="N23" s="27"/>
    </row>
    <row r="24">
      <c r="A24" s="1" t="s">
        <v>71</v>
      </c>
      <c r="B24" s="8" t="s">
        <v>72</v>
      </c>
      <c r="C24" s="33" t="s">
        <v>73</v>
      </c>
      <c r="D24" s="25">
        <v>6.55225</v>
      </c>
      <c r="E24" s="26">
        <v>6.55</v>
      </c>
      <c r="F24" s="25">
        <v>0.00661157</v>
      </c>
      <c r="G24" s="8"/>
      <c r="H24" s="27"/>
      <c r="I24" s="28"/>
      <c r="J24" s="25">
        <v>6.55225</v>
      </c>
      <c r="K24" s="26">
        <v>0.00655</v>
      </c>
      <c r="L24" s="25">
        <v>0.00661157</v>
      </c>
      <c r="M24" s="28"/>
      <c r="N24" s="27"/>
      <c r="O24" s="28"/>
      <c r="P24" s="28"/>
      <c r="Q24" s="28"/>
      <c r="R24" s="28"/>
      <c r="S24" s="28"/>
      <c r="T24" s="28"/>
      <c r="U24" s="28"/>
    </row>
    <row r="25">
      <c r="A25" s="1" t="s">
        <v>74</v>
      </c>
      <c r="B25" s="8" t="s">
        <v>75</v>
      </c>
      <c r="C25" s="33"/>
      <c r="D25" s="13">
        <v>0.75</v>
      </c>
      <c r="E25" s="12">
        <v>0.75</v>
      </c>
      <c r="F25" s="13">
        <v>0.75</v>
      </c>
      <c r="H25" s="40"/>
      <c r="J25" s="25">
        <v>0.75</v>
      </c>
      <c r="K25" s="12">
        <v>0.75</v>
      </c>
      <c r="L25" s="13">
        <v>1.0</v>
      </c>
      <c r="N25" s="27"/>
    </row>
    <row r="26">
      <c r="A26" s="1" t="s">
        <v>76</v>
      </c>
      <c r="B26" s="8" t="s">
        <v>77</v>
      </c>
      <c r="C26" s="33"/>
      <c r="D26" s="13">
        <v>0.9</v>
      </c>
      <c r="E26" s="12">
        <v>0.9</v>
      </c>
      <c r="F26" s="13">
        <v>0.9</v>
      </c>
      <c r="H26" s="40"/>
      <c r="J26" s="25">
        <v>0.9</v>
      </c>
      <c r="K26" s="12">
        <v>0.9</v>
      </c>
      <c r="L26" s="13">
        <v>0.675</v>
      </c>
      <c r="N26" s="27"/>
    </row>
    <row r="27">
      <c r="A27" s="1" t="s">
        <v>78</v>
      </c>
      <c r="B27" s="8" t="s">
        <v>79</v>
      </c>
      <c r="C27" s="28"/>
      <c r="D27" s="13">
        <v>0.532</v>
      </c>
      <c r="E27" s="12">
        <v>0.532</v>
      </c>
      <c r="F27" s="56">
        <f>0.95*0.56</f>
        <v>0.532</v>
      </c>
      <c r="H27" s="40"/>
      <c r="J27" s="25">
        <v>0.532</v>
      </c>
      <c r="K27" s="12">
        <v>0.532</v>
      </c>
      <c r="L27" s="56">
        <f>0.95*0.56</f>
        <v>0.532</v>
      </c>
      <c r="N27" s="27"/>
    </row>
    <row r="28">
      <c r="A28" s="1" t="s">
        <v>80</v>
      </c>
      <c r="B28" s="8" t="s">
        <v>81</v>
      </c>
      <c r="C28" s="8" t="s">
        <v>82</v>
      </c>
      <c r="D28" s="11">
        <v>135.0</v>
      </c>
      <c r="E28" s="55"/>
      <c r="F28" s="13">
        <v>34.11196462</v>
      </c>
      <c r="H28" s="40"/>
      <c r="J28" s="29">
        <v>135.0</v>
      </c>
      <c r="K28" s="55"/>
      <c r="L28" s="13">
        <v>34.11196462</v>
      </c>
      <c r="N28" s="27"/>
    </row>
    <row r="29">
      <c r="A29" s="1" t="s">
        <v>83</v>
      </c>
      <c r="B29" s="8" t="s">
        <v>84</v>
      </c>
      <c r="C29" s="8" t="s">
        <v>82</v>
      </c>
      <c r="D29" s="11">
        <v>21.7</v>
      </c>
      <c r="E29" s="55"/>
      <c r="F29" s="13">
        <v>21.69883796</v>
      </c>
      <c r="H29" s="40"/>
      <c r="J29" s="29">
        <v>21.7</v>
      </c>
      <c r="K29" s="55"/>
      <c r="L29" s="13">
        <v>21.69883796</v>
      </c>
      <c r="N29" s="27"/>
    </row>
    <row r="30">
      <c r="A30" s="35"/>
      <c r="B30" s="36"/>
      <c r="C30" s="28"/>
      <c r="D30" s="40"/>
      <c r="E30" s="55"/>
      <c r="F30" s="56"/>
      <c r="H30" s="40"/>
      <c r="J30" s="27"/>
      <c r="K30" s="55"/>
      <c r="L30" s="30"/>
      <c r="N30" s="27"/>
    </row>
    <row r="31">
      <c r="A31" s="20" t="s">
        <v>85</v>
      </c>
      <c r="B31" s="21" t="s">
        <v>86</v>
      </c>
      <c r="C31" s="22"/>
      <c r="D31" s="23"/>
      <c r="E31" s="24"/>
      <c r="F31" s="24"/>
      <c r="G31" s="23"/>
      <c r="H31" s="23"/>
      <c r="J31" s="23"/>
      <c r="K31" s="24"/>
      <c r="L31" s="24"/>
      <c r="M31" s="23"/>
      <c r="N31" s="23"/>
      <c r="O31" s="23"/>
      <c r="P31" s="23"/>
      <c r="Q31" s="23"/>
      <c r="R31" s="23"/>
      <c r="S31" s="23"/>
      <c r="T31" s="23"/>
      <c r="U31" s="23"/>
      <c r="V31" s="23"/>
      <c r="W31" s="23"/>
      <c r="X31" s="23"/>
      <c r="Y31" s="23"/>
      <c r="Z31" s="23"/>
      <c r="AA31" s="23"/>
      <c r="AB31" s="23"/>
    </row>
    <row r="32">
      <c r="A32" s="1" t="s">
        <v>87</v>
      </c>
      <c r="B32" s="8" t="s">
        <v>88</v>
      </c>
      <c r="C32" s="8" t="s">
        <v>23</v>
      </c>
      <c r="D32" s="13">
        <v>45.05549</v>
      </c>
      <c r="E32" s="12">
        <v>42.84162048</v>
      </c>
      <c r="F32" s="13">
        <v>43.58656309</v>
      </c>
      <c r="H32" s="40"/>
      <c r="J32" s="13">
        <v>41.53614</v>
      </c>
      <c r="K32" s="12">
        <v>35.092226</v>
      </c>
      <c r="L32" s="13">
        <v>36.2940837</v>
      </c>
      <c r="N32" s="40"/>
    </row>
    <row r="33">
      <c r="A33" s="1" t="s">
        <v>90</v>
      </c>
      <c r="B33" s="8" t="s">
        <v>91</v>
      </c>
      <c r="C33" s="8" t="s">
        <v>23</v>
      </c>
      <c r="D33" s="13">
        <v>6.047878E-9</v>
      </c>
      <c r="E33" s="12">
        <v>5.95498525E-9</v>
      </c>
      <c r="F33" s="13">
        <v>5.60430887E-9</v>
      </c>
      <c r="H33" s="40"/>
      <c r="J33" s="13">
        <v>5.575469E-9</v>
      </c>
      <c r="K33" s="12">
        <v>4.87781941E-9</v>
      </c>
      <c r="L33" s="13">
        <v>4.66665048E-9</v>
      </c>
      <c r="N33" s="40"/>
    </row>
    <row r="34">
      <c r="A34" s="1" t="s">
        <v>93</v>
      </c>
      <c r="B34" s="8" t="s">
        <v>94</v>
      </c>
      <c r="C34" s="8" t="s">
        <v>95</v>
      </c>
      <c r="D34" s="13">
        <v>7.721183E-6</v>
      </c>
      <c r="E34" s="12">
        <v>7.46360183747777E-6</v>
      </c>
      <c r="F34" s="13">
        <v>2.90044772E-5</v>
      </c>
      <c r="H34" s="40"/>
      <c r="J34" s="13">
        <v>7.127239E-6</v>
      </c>
      <c r="K34" s="12">
        <v>2.00233059466696E-6</v>
      </c>
      <c r="L34" s="13">
        <v>2.67733636E-5</v>
      </c>
      <c r="N34" s="40"/>
    </row>
    <row r="35">
      <c r="A35" s="1" t="s">
        <v>96</v>
      </c>
      <c r="B35" s="8" t="s">
        <v>97</v>
      </c>
      <c r="C35" s="8" t="s">
        <v>95</v>
      </c>
      <c r="D35" s="13">
        <v>4.643969E-5</v>
      </c>
      <c r="E35" s="12">
        <v>5.62431605572512E-5</v>
      </c>
      <c r="F35" s="13">
        <v>5.22494533E-5</v>
      </c>
      <c r="G35" s="55">
        <f>D8*10^(-0.4*22)*(1/D10)*10^(-0.4*((D9-5*LOG10(D11)+5)-4.83))*D16</f>
        <v>0.00004665270572</v>
      </c>
      <c r="H35" s="40"/>
      <c r="J35" s="13">
        <v>4.281222E-5</v>
      </c>
      <c r="K35" s="43">
        <v>1.50888811564214E-5</v>
      </c>
      <c r="L35" s="43">
        <v>1.17146981E-5</v>
      </c>
      <c r="N35" s="40"/>
    </row>
    <row r="36">
      <c r="B36" s="28"/>
      <c r="C36" s="28"/>
      <c r="D36" s="40"/>
      <c r="E36" s="55"/>
      <c r="F36" s="56"/>
      <c r="H36" s="40"/>
      <c r="J36" s="40"/>
      <c r="K36" s="45"/>
      <c r="L36" s="40"/>
      <c r="N36" s="40"/>
    </row>
    <row r="37">
      <c r="A37" s="20" t="s">
        <v>98</v>
      </c>
      <c r="B37" s="21" t="s">
        <v>99</v>
      </c>
      <c r="C37" s="22"/>
      <c r="D37" s="23"/>
      <c r="E37" s="24"/>
      <c r="F37" s="24"/>
      <c r="G37" s="23"/>
      <c r="H37" s="23"/>
      <c r="J37" s="23"/>
      <c r="K37" s="24"/>
      <c r="L37" s="24"/>
      <c r="M37" s="23"/>
      <c r="N37" s="23"/>
      <c r="O37" s="23"/>
      <c r="P37" s="23"/>
      <c r="Q37" s="23"/>
      <c r="R37" s="23"/>
      <c r="S37" s="23"/>
      <c r="T37" s="23"/>
      <c r="U37" s="23"/>
      <c r="V37" s="23"/>
      <c r="W37" s="23"/>
      <c r="X37" s="23"/>
      <c r="Y37" s="23"/>
      <c r="Z37" s="23"/>
      <c r="AA37" s="23"/>
      <c r="AB37" s="23"/>
    </row>
    <row r="38">
      <c r="A38" s="1" t="s">
        <v>100</v>
      </c>
      <c r="B38" s="8" t="s">
        <v>101</v>
      </c>
      <c r="C38" s="33" t="s">
        <v>102</v>
      </c>
      <c r="D38" s="13">
        <v>4.792579</v>
      </c>
      <c r="E38" s="12">
        <v>4.71135924</v>
      </c>
      <c r="F38" s="13">
        <v>4.93817958</v>
      </c>
      <c r="H38" s="40"/>
      <c r="J38" s="25">
        <v>2.396289</v>
      </c>
      <c r="K38" s="12">
        <v>2.35567962</v>
      </c>
      <c r="L38" s="25">
        <v>2.46908979</v>
      </c>
      <c r="N38" s="27"/>
    </row>
    <row r="39">
      <c r="A39" s="32" t="s">
        <v>103</v>
      </c>
      <c r="B39" s="8" t="s">
        <v>104</v>
      </c>
      <c r="C39" s="33" t="s">
        <v>105</v>
      </c>
      <c r="D39" s="13">
        <v>2.259517</v>
      </c>
      <c r="E39" s="12">
        <v>2.25647</v>
      </c>
      <c r="F39" s="13">
        <v>2.30272793</v>
      </c>
      <c r="H39" s="40"/>
      <c r="J39" s="25">
        <v>2.261981</v>
      </c>
      <c r="K39" s="12">
        <v>2.25647</v>
      </c>
      <c r="L39" s="25">
        <v>2.30272793</v>
      </c>
      <c r="N39" s="27"/>
    </row>
    <row r="40">
      <c r="A40" s="1" t="s">
        <v>106</v>
      </c>
      <c r="B40" s="8" t="s">
        <v>107</v>
      </c>
      <c r="C40" s="33"/>
      <c r="D40" s="13">
        <v>0.2968371</v>
      </c>
      <c r="E40" s="12">
        <v>0.29986994</v>
      </c>
      <c r="F40" s="13">
        <v>0.3086458</v>
      </c>
      <c r="H40" s="40"/>
      <c r="J40" s="25">
        <v>0.1223112</v>
      </c>
      <c r="K40" s="12">
        <v>0.12374181</v>
      </c>
      <c r="L40" s="25">
        <v>0.13765211</v>
      </c>
      <c r="N40" s="27"/>
    </row>
    <row r="41">
      <c r="A41" s="1" t="s">
        <v>108</v>
      </c>
      <c r="B41" s="8" t="s">
        <v>109</v>
      </c>
      <c r="C41" s="57" t="s">
        <v>110</v>
      </c>
      <c r="D41" s="13">
        <v>6.89407E-14</v>
      </c>
      <c r="E41" s="12">
        <v>6.59699485E-14</v>
      </c>
      <c r="F41" s="13">
        <v>6.08783834E-14</v>
      </c>
      <c r="H41" s="40"/>
      <c r="J41" s="25">
        <v>1.869773E-13</v>
      </c>
      <c r="K41" s="58">
        <v>1.901711E-13</v>
      </c>
      <c r="L41" s="25">
        <v>1.76141558E-13</v>
      </c>
      <c r="N41" s="27"/>
    </row>
    <row r="42">
      <c r="A42" s="1" t="s">
        <v>111</v>
      </c>
      <c r="B42" s="8" t="s">
        <v>112</v>
      </c>
      <c r="C42" s="31" t="s">
        <v>110</v>
      </c>
      <c r="D42" s="13">
        <v>9.382033</v>
      </c>
      <c r="E42" s="12">
        <v>9.14803255</v>
      </c>
      <c r="F42" s="13">
        <v>9.30877104</v>
      </c>
      <c r="H42" s="40"/>
      <c r="J42" s="25">
        <v>5.50273</v>
      </c>
      <c r="K42" s="12">
        <v>5.4130648</v>
      </c>
      <c r="L42" s="25">
        <v>5.72221792</v>
      </c>
      <c r="N42" s="27"/>
    </row>
    <row r="43">
      <c r="A43" s="1" t="s">
        <v>113</v>
      </c>
      <c r="B43" s="8" t="s">
        <v>114</v>
      </c>
      <c r="C43" s="28"/>
      <c r="D43" s="13">
        <v>9.038068</v>
      </c>
      <c r="E43" s="12">
        <v>9.04620967</v>
      </c>
      <c r="F43" s="13">
        <v>9.04636774</v>
      </c>
      <c r="H43" s="40"/>
      <c r="J43" s="25">
        <v>36.1917</v>
      </c>
      <c r="K43" s="12">
        <v>36.18483868</v>
      </c>
      <c r="L43" s="25">
        <v>36.18547095</v>
      </c>
      <c r="N43" s="27"/>
    </row>
    <row r="44">
      <c r="A44" s="1" t="s">
        <v>115</v>
      </c>
      <c r="B44" s="8" t="s">
        <v>116</v>
      </c>
      <c r="C44" s="28"/>
      <c r="D44" s="25">
        <v>3.649239</v>
      </c>
      <c r="E44" s="26">
        <v>3.648903</v>
      </c>
      <c r="F44" s="25">
        <v>3.648903</v>
      </c>
      <c r="G44" s="28"/>
      <c r="H44" s="27"/>
      <c r="I44" s="28"/>
      <c r="J44" s="25">
        <v>4.267911</v>
      </c>
      <c r="K44" s="26">
        <v>4.267776</v>
      </c>
      <c r="L44" s="25">
        <v>4.267776</v>
      </c>
      <c r="M44" s="28"/>
      <c r="N44" s="27"/>
      <c r="O44" s="28"/>
      <c r="P44" s="28"/>
      <c r="Q44" s="28"/>
      <c r="R44" s="28"/>
      <c r="S44" s="28"/>
      <c r="T44" s="28"/>
      <c r="U44" s="28"/>
    </row>
    <row r="45">
      <c r="A45" s="1" t="s">
        <v>117</v>
      </c>
      <c r="B45" s="8" t="s">
        <v>118</v>
      </c>
      <c r="C45" s="8" t="s">
        <v>119</v>
      </c>
      <c r="D45" s="25"/>
      <c r="E45" s="26">
        <v>2500552.15024432</v>
      </c>
      <c r="F45" s="25">
        <v>2544032.48125724</v>
      </c>
      <c r="G45" s="59"/>
      <c r="H45" s="27"/>
      <c r="I45" s="28"/>
      <c r="J45" s="27"/>
      <c r="K45" s="26">
        <v>4096480.95511052</v>
      </c>
      <c r="L45" s="25">
        <v>4236779.47</v>
      </c>
      <c r="M45" s="28"/>
      <c r="N45" s="27"/>
      <c r="O45" s="28"/>
      <c r="P45" s="28"/>
      <c r="Q45" s="28"/>
      <c r="R45" s="28"/>
      <c r="S45" s="28"/>
      <c r="T45" s="28"/>
      <c r="U45" s="28"/>
    </row>
    <row r="46">
      <c r="A46" s="1" t="s">
        <v>120</v>
      </c>
      <c r="B46" s="8" t="s">
        <v>121</v>
      </c>
      <c r="C46" s="28"/>
      <c r="D46" s="25"/>
      <c r="E46" s="26">
        <v>1.43948791E-9</v>
      </c>
      <c r="F46" s="25">
        <v>1.4394879139095E-9</v>
      </c>
      <c r="G46" s="28"/>
      <c r="H46" s="27"/>
      <c r="I46" s="28"/>
      <c r="J46" s="25">
        <v>7.9256294E-9</v>
      </c>
      <c r="K46" s="26">
        <v>7.92895073E-9</v>
      </c>
      <c r="L46" s="25">
        <v>7.92895073E-9</v>
      </c>
      <c r="M46" s="28"/>
      <c r="N46" s="27"/>
      <c r="O46" s="28"/>
      <c r="P46" s="28"/>
      <c r="Q46" s="28"/>
      <c r="R46" s="28"/>
      <c r="S46" s="28"/>
      <c r="T46" s="28"/>
      <c r="U46" s="28"/>
    </row>
    <row r="47">
      <c r="A47" s="1" t="s">
        <v>122</v>
      </c>
      <c r="B47" s="8" t="s">
        <v>123</v>
      </c>
      <c r="C47" s="33" t="s">
        <v>102</v>
      </c>
      <c r="D47" s="29"/>
      <c r="E47" s="26">
        <v>351.02449767</v>
      </c>
      <c r="F47" s="25">
        <v>351.02449767</v>
      </c>
      <c r="G47" s="28"/>
      <c r="H47" s="27"/>
      <c r="I47" s="28"/>
      <c r="J47" s="29">
        <v>175.51224</v>
      </c>
      <c r="K47" s="26">
        <v>175.51224884</v>
      </c>
      <c r="L47" s="25">
        <v>175.51224884</v>
      </c>
      <c r="M47" s="28"/>
      <c r="N47" s="27"/>
      <c r="O47" s="28"/>
      <c r="P47" s="28"/>
      <c r="Q47" s="28"/>
      <c r="R47" s="28"/>
      <c r="S47" s="28"/>
      <c r="T47" s="28"/>
      <c r="U47" s="28"/>
    </row>
    <row r="48">
      <c r="A48" s="1"/>
      <c r="B48" s="28"/>
      <c r="C48" s="28"/>
      <c r="D48" s="40"/>
      <c r="F48" s="56"/>
      <c r="H48" s="40"/>
      <c r="J48" s="27"/>
      <c r="K48" s="55"/>
      <c r="L48" s="30"/>
      <c r="N48" s="27"/>
    </row>
    <row r="49">
      <c r="A49" s="20" t="s">
        <v>124</v>
      </c>
      <c r="B49" s="21" t="s">
        <v>125</v>
      </c>
      <c r="C49" s="46"/>
      <c r="D49" s="23"/>
      <c r="E49" s="24"/>
      <c r="F49" s="24"/>
      <c r="G49" s="23"/>
      <c r="H49" s="23"/>
      <c r="J49" s="23"/>
      <c r="K49" s="24"/>
      <c r="L49" s="24"/>
      <c r="M49" s="23"/>
      <c r="N49" s="23"/>
      <c r="O49" s="23"/>
      <c r="P49" s="23"/>
      <c r="Q49" s="23"/>
      <c r="R49" s="23"/>
      <c r="S49" s="23"/>
      <c r="T49" s="23"/>
      <c r="U49" s="23"/>
      <c r="V49" s="23"/>
      <c r="W49" s="23"/>
      <c r="X49" s="23"/>
      <c r="Y49" s="23"/>
      <c r="Z49" s="23"/>
      <c r="AA49" s="23"/>
      <c r="AB49" s="23"/>
    </row>
    <row r="50">
      <c r="A50" s="47" t="s">
        <v>126</v>
      </c>
      <c r="B50" s="48"/>
      <c r="C50" s="48"/>
      <c r="D50" s="49">
        <f t="shared" ref="D50:H50" si="1">D33*D13*D40*D27*D26*D25*D15</f>
        <v>0.02756076163</v>
      </c>
      <c r="E50" s="49">
        <f t="shared" si="1"/>
        <v>0.02741470959</v>
      </c>
      <c r="F50" s="49">
        <f t="shared" si="1"/>
        <v>0.02655537636</v>
      </c>
      <c r="G50" s="50">
        <f t="shared" si="1"/>
        <v>0</v>
      </c>
      <c r="H50" s="50">
        <f t="shared" si="1"/>
        <v>0</v>
      </c>
      <c r="I50" s="28"/>
      <c r="J50" s="49">
        <f t="shared" ref="J50:N50" si="2">J33*J13*J40*J27*J26*J25*J15</f>
        <v>0.02093860004</v>
      </c>
      <c r="K50" s="49">
        <f t="shared" si="2"/>
        <v>0.01853284972</v>
      </c>
      <c r="L50" s="49">
        <f t="shared" si="2"/>
        <v>0.01972369008</v>
      </c>
      <c r="M50" s="50">
        <f t="shared" si="2"/>
        <v>0</v>
      </c>
      <c r="N50" s="50">
        <f t="shared" si="2"/>
        <v>0</v>
      </c>
      <c r="O50" s="28"/>
      <c r="P50" s="28"/>
      <c r="Q50" s="28"/>
      <c r="R50" s="28"/>
      <c r="S50" s="28"/>
      <c r="T50" s="28"/>
      <c r="U50" s="28"/>
    </row>
    <row r="51">
      <c r="A51" s="1" t="s">
        <v>127</v>
      </c>
      <c r="B51" s="8" t="s">
        <v>128</v>
      </c>
      <c r="C51" s="8" t="s">
        <v>129</v>
      </c>
      <c r="D51" s="13">
        <v>0.02756076</v>
      </c>
      <c r="E51" s="12">
        <v>0.02741471</v>
      </c>
      <c r="F51" s="13">
        <v>0.02655538</v>
      </c>
      <c r="H51" s="40"/>
      <c r="J51" s="25">
        <v>0.02093859</v>
      </c>
      <c r="K51" s="12">
        <v>0.01853285</v>
      </c>
      <c r="L51" s="25">
        <v>0.01972369</v>
      </c>
      <c r="N51" s="27"/>
    </row>
    <row r="52">
      <c r="A52" s="47" t="s">
        <v>130</v>
      </c>
      <c r="B52" s="48"/>
      <c r="C52" s="48"/>
      <c r="D52" s="51">
        <f t="shared" ref="D52:H52" si="3">D32*D41*D39*D13*D27*D26*D25*D15</f>
        <v>0.000107747954</v>
      </c>
      <c r="E52" s="51">
        <f t="shared" si="3"/>
        <v>0.00009790652251</v>
      </c>
      <c r="F52" s="51">
        <f t="shared" si="3"/>
        <v>0.00009380551928</v>
      </c>
      <c r="G52" s="51">
        <f t="shared" si="3"/>
        <v>0</v>
      </c>
      <c r="H52" s="51">
        <f t="shared" si="3"/>
        <v>0</v>
      </c>
      <c r="I52" s="26"/>
      <c r="J52" s="51">
        <f t="shared" ref="J52:N52" si="4">J32*J41*J39*J13*J27*J26*J25*J15</f>
        <v>0.0005393913532</v>
      </c>
      <c r="K52" s="51">
        <f t="shared" si="4"/>
        <v>0.0004623650756</v>
      </c>
      <c r="L52" s="51">
        <f t="shared" si="4"/>
        <v>0.000452001963</v>
      </c>
      <c r="M52" s="51">
        <f t="shared" si="4"/>
        <v>0</v>
      </c>
      <c r="N52" s="51">
        <f t="shared" si="4"/>
        <v>0</v>
      </c>
      <c r="O52" s="28"/>
      <c r="P52" s="28"/>
      <c r="Q52" s="28"/>
      <c r="R52" s="28"/>
      <c r="S52" s="28"/>
      <c r="T52" s="28"/>
      <c r="U52" s="28"/>
    </row>
    <row r="53">
      <c r="A53" s="1" t="s">
        <v>131</v>
      </c>
      <c r="B53" s="8" t="s">
        <v>132</v>
      </c>
      <c r="C53" s="8" t="s">
        <v>129</v>
      </c>
      <c r="D53" s="13">
        <v>1.07748E-4</v>
      </c>
      <c r="E53" s="12">
        <v>9.80596865823795E-5</v>
      </c>
      <c r="F53" s="13">
        <v>9.38056173E-5</v>
      </c>
      <c r="H53" s="40"/>
      <c r="J53" s="25">
        <v>5.393912E-4</v>
      </c>
      <c r="K53" s="12">
        <v>4.63088396145916E-4</v>
      </c>
      <c r="L53" s="25">
        <v>4.52E-4</v>
      </c>
      <c r="N53" s="27"/>
    </row>
    <row r="54">
      <c r="A54" s="1" t="s">
        <v>133</v>
      </c>
      <c r="B54" s="8" t="s">
        <v>134</v>
      </c>
      <c r="C54" s="8" t="s">
        <v>129</v>
      </c>
      <c r="D54" s="13">
        <v>0.02697039</v>
      </c>
      <c r="E54" s="12">
        <v>0.025425848661098</v>
      </c>
      <c r="F54" s="13">
        <v>0.10244513</v>
      </c>
      <c r="H54" s="40"/>
      <c r="J54" s="25">
        <v>0.1169417</v>
      </c>
      <c r="K54" s="12">
        <v>0.0322900181949388</v>
      </c>
      <c r="L54" s="25">
        <v>0.465041</v>
      </c>
      <c r="N54" s="27"/>
    </row>
    <row r="55">
      <c r="A55" s="1" t="s">
        <v>135</v>
      </c>
      <c r="B55" s="8" t="s">
        <v>136</v>
      </c>
      <c r="C55" s="8" t="s">
        <v>129</v>
      </c>
      <c r="D55" s="13">
        <v>0.1622157</v>
      </c>
      <c r="E55" s="12">
        <v>0.191600532784284</v>
      </c>
      <c r="F55" s="13">
        <v>0.1837051</v>
      </c>
      <c r="H55" s="40"/>
      <c r="J55" s="25">
        <v>0.7024507</v>
      </c>
      <c r="K55" s="43">
        <v>0.243326575731193</v>
      </c>
      <c r="L55" s="42">
        <v>0.24236549</v>
      </c>
      <c r="N55" s="27"/>
    </row>
    <row r="56">
      <c r="A56" s="47" t="s">
        <v>154</v>
      </c>
      <c r="B56" s="48"/>
      <c r="C56" s="48"/>
      <c r="D56" s="51">
        <f>D45*D46*D42*D39</f>
        <v>0</v>
      </c>
      <c r="E56" s="51">
        <f t="shared" ref="E56:F56" si="5">E45*E46*E40</f>
        <v>0.001079386224</v>
      </c>
      <c r="F56" s="51">
        <f t="shared" si="5"/>
        <v>0.001130293022</v>
      </c>
      <c r="G56" s="51">
        <f t="shared" ref="G56:H56" si="6">G45*G46*G42</f>
        <v>0</v>
      </c>
      <c r="H56" s="51">
        <f t="shared" si="6"/>
        <v>0</v>
      </c>
      <c r="J56" s="51">
        <f t="shared" ref="J56:N56" si="7">J45*J46*J42*J39</f>
        <v>0</v>
      </c>
      <c r="K56" s="51">
        <f t="shared" si="7"/>
        <v>0.3967340259</v>
      </c>
      <c r="L56" s="51">
        <f t="shared" si="7"/>
        <v>0.4426480953</v>
      </c>
      <c r="M56" s="51">
        <f t="shared" si="7"/>
        <v>0</v>
      </c>
      <c r="N56" s="51">
        <f t="shared" si="7"/>
        <v>0</v>
      </c>
    </row>
    <row r="57">
      <c r="A57" s="1" t="s">
        <v>137</v>
      </c>
      <c r="B57" s="8" t="s">
        <v>138</v>
      </c>
      <c r="C57" s="8" t="s">
        <v>129</v>
      </c>
      <c r="D57" s="13">
        <v>0.01547765</v>
      </c>
      <c r="E57" s="43">
        <v>0.00107939</v>
      </c>
      <c r="F57" s="43">
        <v>0.00113029</v>
      </c>
      <c r="H57" s="40"/>
      <c r="J57" s="25">
        <v>0.09241147</v>
      </c>
      <c r="K57" s="43">
        <v>0.00401923</v>
      </c>
      <c r="L57" s="42">
        <v>0.00462418</v>
      </c>
      <c r="N57" s="27"/>
    </row>
    <row r="58">
      <c r="A58" s="1" t="s">
        <v>139</v>
      </c>
      <c r="B58" s="8" t="s">
        <v>140</v>
      </c>
      <c r="C58" s="8" t="s">
        <v>129</v>
      </c>
      <c r="D58" s="13">
        <v>0.003313205</v>
      </c>
      <c r="E58" s="12">
        <v>0.00349429</v>
      </c>
      <c r="F58" s="13">
        <v>0.00349436</v>
      </c>
      <c r="H58" s="40"/>
      <c r="J58" s="25">
        <v>0.009442697</v>
      </c>
      <c r="K58" s="12">
        <v>0.01210775</v>
      </c>
      <c r="L58" s="25">
        <v>0.01210797</v>
      </c>
      <c r="N58" s="27"/>
    </row>
    <row r="59">
      <c r="A59" s="1" t="s">
        <v>141</v>
      </c>
      <c r="B59" s="8" t="s">
        <v>142</v>
      </c>
      <c r="C59" s="8" t="s">
        <v>129</v>
      </c>
      <c r="D59" s="13">
        <v>3.124691E-6</v>
      </c>
      <c r="E59" s="12">
        <v>2.843730910889E-6</v>
      </c>
      <c r="F59" s="13">
        <v>2.7203629E-6</v>
      </c>
      <c r="H59" s="40"/>
      <c r="J59" s="25">
        <v>1.564235E-5</v>
      </c>
      <c r="K59" s="12">
        <v>1.34295634882315E-5</v>
      </c>
      <c r="L59" s="25">
        <v>1.31080706E-5</v>
      </c>
      <c r="N59" s="27"/>
    </row>
    <row r="60">
      <c r="B60" s="28"/>
      <c r="C60" s="28"/>
      <c r="D60" s="40"/>
      <c r="E60" s="55"/>
      <c r="F60" s="12"/>
      <c r="H60" s="40"/>
      <c r="J60" s="27"/>
      <c r="K60" s="53"/>
      <c r="L60" s="27"/>
      <c r="N60" s="27"/>
    </row>
    <row r="61">
      <c r="A61" s="20" t="s">
        <v>143</v>
      </c>
      <c r="B61" s="22"/>
      <c r="C61" s="22"/>
      <c r="D61" s="23"/>
      <c r="E61" s="24"/>
      <c r="F61" s="24"/>
      <c r="G61" s="23"/>
      <c r="H61" s="23"/>
      <c r="J61" s="23"/>
      <c r="K61" s="24"/>
      <c r="L61" s="24"/>
      <c r="M61" s="23"/>
      <c r="N61" s="23"/>
      <c r="O61" s="23"/>
      <c r="P61" s="23"/>
      <c r="Q61" s="23"/>
      <c r="R61" s="23"/>
      <c r="S61" s="23"/>
      <c r="T61" s="23"/>
      <c r="U61" s="23"/>
      <c r="V61" s="23"/>
      <c r="W61" s="23"/>
      <c r="X61" s="23"/>
      <c r="Y61" s="23"/>
      <c r="Z61" s="23"/>
      <c r="AA61" s="23"/>
      <c r="AB61" s="23"/>
    </row>
    <row r="62">
      <c r="A62" s="47" t="s">
        <v>144</v>
      </c>
      <c r="B62" s="48"/>
      <c r="C62" s="48"/>
      <c r="D62" s="51">
        <f t="shared" ref="D62:H62" si="8">D17^2*(D51+2*sum(D53:D58))/(D51^2-D17^2*D59^2)</f>
        <v>28624.17047</v>
      </c>
      <c r="E62" s="51">
        <f t="shared" si="8"/>
        <v>30836.30543</v>
      </c>
      <c r="F62" s="51">
        <f t="shared" si="8"/>
        <v>42424.31824</v>
      </c>
      <c r="G62" s="51" t="str">
        <f t="shared" si="8"/>
        <v>#DIV/0!</v>
      </c>
      <c r="H62" s="51" t="str">
        <f t="shared" si="8"/>
        <v>#DIV/0!</v>
      </c>
      <c r="I62" s="26"/>
      <c r="J62" s="51">
        <f t="shared" ref="J62:N62" si="9">J17^2*(J51+2*sum(J53:J58))/(J51^2-J17^2*J59^2)</f>
        <v>208390.5043</v>
      </c>
      <c r="K62" s="51">
        <f t="shared" si="9"/>
        <v>199221.9092</v>
      </c>
      <c r="L62" s="51">
        <f t="shared" si="9"/>
        <v>296532.7823</v>
      </c>
      <c r="M62" s="51" t="str">
        <f t="shared" si="9"/>
        <v>#DIV/0!</v>
      </c>
      <c r="N62" s="51" t="str">
        <f t="shared" si="9"/>
        <v>#DIV/0!</v>
      </c>
      <c r="O62" s="26"/>
      <c r="P62" s="28"/>
      <c r="Q62" s="28"/>
      <c r="R62" s="28"/>
      <c r="S62" s="28"/>
      <c r="T62" s="28"/>
      <c r="U62" s="28"/>
    </row>
    <row r="63">
      <c r="A63" s="47" t="s">
        <v>145</v>
      </c>
      <c r="B63" s="50"/>
      <c r="C63" s="50"/>
      <c r="D63" s="54">
        <f t="shared" ref="D63:F63" si="10">D17^2*(sum(D53:D55) + sum(D57:D58))/(D51^2-D17^2*D59^2)</f>
        <v>13423.13967</v>
      </c>
      <c r="E63" s="54">
        <f t="shared" si="10"/>
        <v>14454.09847</v>
      </c>
      <c r="F63" s="54">
        <f t="shared" si="10"/>
        <v>20211.01996</v>
      </c>
      <c r="G63" s="54" t="str">
        <f t="shared" ref="G63:H63" si="11">G17^2*(sum(G53:G58))/(G51^2-G17^2*G59^2)</f>
        <v>#DIV/0!</v>
      </c>
      <c r="H63" s="54" t="str">
        <f t="shared" si="11"/>
        <v>#DIV/0!</v>
      </c>
      <c r="I63" s="55"/>
      <c r="J63" s="54">
        <f t="shared" ref="J63:L63" si="12">J17^2*(sum(J53:J55) + sum(J57:J58))/(J51^2-J17^2*J59^2)</f>
        <v>103025.1318</v>
      </c>
      <c r="K63" s="54">
        <f t="shared" si="12"/>
        <v>41688.18109</v>
      </c>
      <c r="L63" s="54">
        <f t="shared" si="12"/>
        <v>91268.6996</v>
      </c>
      <c r="M63" s="54" t="str">
        <f t="shared" ref="M63:N63" si="13">M17^2*(sum(M53:M58))/(M51^2-M17^2*M59^2)</f>
        <v>#DIV/0!</v>
      </c>
      <c r="N63" s="54" t="str">
        <f t="shared" si="13"/>
        <v>#DIV/0!</v>
      </c>
      <c r="O63" s="45"/>
      <c r="P63" s="45"/>
      <c r="Q63" s="45"/>
      <c r="R63" s="45"/>
      <c r="S63" s="45"/>
      <c r="T63" s="45"/>
      <c r="U63" s="45"/>
      <c r="V63" s="45"/>
      <c r="W63" s="45"/>
      <c r="X63" s="45"/>
      <c r="Y63" s="45"/>
      <c r="Z63" s="45"/>
      <c r="AA63" s="45"/>
      <c r="AB63" s="45"/>
    </row>
    <row r="64">
      <c r="A64" s="1" t="s">
        <v>146</v>
      </c>
      <c r="B64" s="8" t="s">
        <v>147</v>
      </c>
      <c r="C64" s="8" t="s">
        <v>56</v>
      </c>
      <c r="D64" s="13">
        <v>28624.16</v>
      </c>
      <c r="E64" s="58">
        <v>14454.0986754575</v>
      </c>
      <c r="F64" s="13">
        <v>20211.03265974</v>
      </c>
      <c r="H64" s="40"/>
      <c r="J64" s="13">
        <v>208390.4</v>
      </c>
      <c r="K64" s="58">
        <v>41688.1819836002</v>
      </c>
      <c r="L64" s="13">
        <v>91268.69496141</v>
      </c>
      <c r="N64" s="40"/>
    </row>
    <row r="65">
      <c r="A65" s="1" t="s">
        <v>149</v>
      </c>
      <c r="B65" s="8" t="s">
        <v>150</v>
      </c>
      <c r="C65" s="8" t="s">
        <v>56</v>
      </c>
      <c r="D65" s="13">
        <v>39736.48</v>
      </c>
      <c r="E65" s="12">
        <v>24179.5085430033</v>
      </c>
      <c r="F65" s="13">
        <v>28491.02977974</v>
      </c>
      <c r="H65" s="40"/>
      <c r="J65" s="13">
        <v>237479.4</v>
      </c>
      <c r="K65" s="12">
        <v>54137.0001819602</v>
      </c>
      <c r="L65" s="13">
        <v>99548.69208141</v>
      </c>
      <c r="N65" s="40"/>
    </row>
    <row r="66">
      <c r="B66" s="28"/>
      <c r="C66" s="28"/>
      <c r="E66" s="55"/>
      <c r="F66" s="55"/>
      <c r="K66" s="55"/>
      <c r="L66" s="55"/>
    </row>
    <row r="67">
      <c r="B67" s="28"/>
      <c r="C67" s="28"/>
      <c r="E67" s="55"/>
      <c r="F67" s="55"/>
      <c r="K67" s="55"/>
      <c r="L67" s="55"/>
    </row>
    <row r="68">
      <c r="B68" s="28"/>
      <c r="C68" s="28"/>
      <c r="E68" s="55"/>
      <c r="F68" s="55"/>
      <c r="K68" s="55"/>
      <c r="L68" s="55"/>
    </row>
    <row r="69">
      <c r="B69" s="28"/>
      <c r="C69" s="28"/>
      <c r="E69" s="55"/>
      <c r="F69" s="55"/>
      <c r="K69" s="55"/>
      <c r="L69" s="55"/>
    </row>
    <row r="70">
      <c r="B70" s="28"/>
      <c r="C70" s="28"/>
      <c r="E70" s="55"/>
      <c r="F70" s="55"/>
      <c r="K70" s="55"/>
      <c r="L70" s="55"/>
    </row>
    <row r="71">
      <c r="B71" s="28"/>
      <c r="C71" s="28"/>
      <c r="E71" s="55"/>
      <c r="F71" s="55"/>
      <c r="K71" s="55"/>
      <c r="L71" s="55"/>
    </row>
    <row r="72">
      <c r="B72" s="28"/>
      <c r="C72" s="28"/>
      <c r="E72" s="55"/>
      <c r="F72" s="55"/>
      <c r="K72" s="55"/>
      <c r="L72" s="55"/>
    </row>
    <row r="73">
      <c r="B73" s="28"/>
      <c r="C73" s="28"/>
      <c r="E73" s="55"/>
      <c r="F73" s="55"/>
      <c r="K73" s="55"/>
      <c r="L73" s="55"/>
    </row>
    <row r="74">
      <c r="B74" s="28"/>
      <c r="C74" s="28"/>
      <c r="E74" s="55"/>
      <c r="F74" s="55"/>
      <c r="K74" s="55"/>
      <c r="L74" s="55"/>
    </row>
    <row r="75">
      <c r="B75" s="28"/>
      <c r="C75" s="28"/>
      <c r="E75" s="55"/>
      <c r="F75" s="55"/>
      <c r="K75" s="55"/>
      <c r="L75" s="55"/>
    </row>
    <row r="76">
      <c r="B76" s="28"/>
      <c r="C76" s="28"/>
      <c r="E76" s="55"/>
      <c r="F76" s="55"/>
      <c r="K76" s="55"/>
      <c r="L76" s="55"/>
    </row>
    <row r="77">
      <c r="B77" s="28"/>
      <c r="C77" s="28"/>
      <c r="E77" s="55"/>
      <c r="F77" s="55"/>
      <c r="K77" s="55"/>
      <c r="L77" s="55"/>
    </row>
    <row r="78">
      <c r="B78" s="28"/>
      <c r="C78" s="28"/>
      <c r="E78" s="55"/>
      <c r="F78" s="55"/>
      <c r="K78" s="55"/>
      <c r="L78" s="55"/>
    </row>
    <row r="79">
      <c r="B79" s="28"/>
      <c r="C79" s="28"/>
      <c r="E79" s="55"/>
      <c r="F79" s="55"/>
      <c r="K79" s="55"/>
      <c r="L79" s="55"/>
    </row>
    <row r="80">
      <c r="B80" s="28"/>
      <c r="C80" s="28"/>
      <c r="E80" s="55"/>
      <c r="F80" s="55"/>
      <c r="K80" s="55"/>
      <c r="L80" s="55"/>
    </row>
    <row r="81">
      <c r="B81" s="28"/>
      <c r="C81" s="28"/>
      <c r="E81" s="55"/>
      <c r="F81" s="55"/>
      <c r="K81" s="55"/>
      <c r="L81" s="55"/>
    </row>
    <row r="82">
      <c r="B82" s="28"/>
      <c r="C82" s="28"/>
      <c r="E82" s="55"/>
      <c r="F82" s="55"/>
      <c r="K82" s="55"/>
      <c r="L82" s="55"/>
    </row>
    <row r="83">
      <c r="B83" s="28"/>
      <c r="C83" s="28"/>
      <c r="E83" s="55"/>
      <c r="F83" s="55"/>
      <c r="K83" s="55"/>
      <c r="L83" s="55"/>
    </row>
    <row r="84">
      <c r="B84" s="28"/>
      <c r="C84" s="28"/>
      <c r="E84" s="55"/>
      <c r="F84" s="55"/>
      <c r="K84" s="55"/>
      <c r="L84" s="55"/>
    </row>
    <row r="85">
      <c r="B85" s="28"/>
      <c r="C85" s="28"/>
      <c r="E85" s="55"/>
      <c r="F85" s="55"/>
      <c r="K85" s="55"/>
      <c r="L85" s="55"/>
    </row>
    <row r="86">
      <c r="B86" s="28"/>
      <c r="C86" s="28"/>
      <c r="E86" s="55"/>
      <c r="F86" s="55"/>
      <c r="K86" s="55"/>
      <c r="L86" s="55"/>
    </row>
    <row r="87">
      <c r="B87" s="28"/>
      <c r="C87" s="28"/>
      <c r="E87" s="55"/>
      <c r="F87" s="55"/>
      <c r="K87" s="55"/>
      <c r="L87" s="55"/>
    </row>
    <row r="88">
      <c r="B88" s="28"/>
      <c r="C88" s="28"/>
      <c r="E88" s="55"/>
      <c r="F88" s="55"/>
      <c r="K88" s="55"/>
      <c r="L88" s="55"/>
    </row>
    <row r="89">
      <c r="B89" s="28"/>
      <c r="C89" s="28"/>
      <c r="E89" s="55"/>
      <c r="F89" s="55"/>
      <c r="K89" s="55"/>
      <c r="L89" s="55"/>
    </row>
    <row r="90">
      <c r="B90" s="28"/>
      <c r="C90" s="28"/>
      <c r="E90" s="55"/>
      <c r="F90" s="55"/>
      <c r="K90" s="55"/>
      <c r="L90" s="55"/>
    </row>
    <row r="91">
      <c r="B91" s="28"/>
      <c r="C91" s="28"/>
      <c r="E91" s="55"/>
      <c r="F91" s="55"/>
      <c r="K91" s="55"/>
      <c r="L91" s="55"/>
    </row>
    <row r="92">
      <c r="B92" s="28"/>
      <c r="C92" s="28"/>
      <c r="E92" s="55"/>
      <c r="F92" s="55"/>
      <c r="K92" s="55"/>
      <c r="L92" s="55"/>
    </row>
    <row r="93">
      <c r="B93" s="28"/>
      <c r="C93" s="28"/>
      <c r="E93" s="55"/>
      <c r="F93" s="55"/>
      <c r="K93" s="55"/>
      <c r="L93" s="55"/>
    </row>
    <row r="94">
      <c r="B94" s="28"/>
      <c r="C94" s="28"/>
      <c r="E94" s="55"/>
      <c r="F94" s="55"/>
      <c r="K94" s="55"/>
      <c r="L94" s="55"/>
    </row>
    <row r="95">
      <c r="B95" s="28"/>
      <c r="C95" s="28"/>
      <c r="E95" s="55"/>
      <c r="F95" s="55"/>
      <c r="K95" s="55"/>
      <c r="L95" s="55"/>
    </row>
    <row r="96">
      <c r="B96" s="28"/>
      <c r="C96" s="28"/>
      <c r="E96" s="55"/>
      <c r="F96" s="55"/>
      <c r="K96" s="55"/>
      <c r="L96" s="55"/>
    </row>
    <row r="97">
      <c r="B97" s="28"/>
      <c r="C97" s="28"/>
      <c r="E97" s="55"/>
      <c r="F97" s="55"/>
      <c r="K97" s="55"/>
      <c r="L97" s="55"/>
    </row>
    <row r="98">
      <c r="B98" s="28"/>
      <c r="C98" s="28"/>
      <c r="E98" s="55"/>
      <c r="F98" s="55"/>
      <c r="K98" s="55"/>
      <c r="L98" s="55"/>
    </row>
    <row r="99">
      <c r="B99" s="28"/>
      <c r="C99" s="28"/>
      <c r="E99" s="55"/>
      <c r="F99" s="55"/>
      <c r="K99" s="55"/>
      <c r="L99" s="55"/>
    </row>
    <row r="100">
      <c r="B100" s="28"/>
      <c r="C100" s="28"/>
      <c r="E100" s="55"/>
      <c r="F100" s="55"/>
      <c r="K100" s="55"/>
      <c r="L100" s="55"/>
    </row>
    <row r="101">
      <c r="B101" s="28"/>
      <c r="C101" s="28"/>
      <c r="E101" s="55"/>
      <c r="F101" s="55"/>
      <c r="K101" s="55"/>
      <c r="L101" s="55"/>
    </row>
    <row r="102">
      <c r="B102" s="28"/>
      <c r="C102" s="28"/>
      <c r="E102" s="55"/>
      <c r="F102" s="55"/>
      <c r="K102" s="55"/>
      <c r="L102" s="55"/>
    </row>
    <row r="103">
      <c r="B103" s="28"/>
      <c r="C103" s="28"/>
      <c r="E103" s="55"/>
      <c r="F103" s="55"/>
      <c r="K103" s="55"/>
      <c r="L103" s="55"/>
    </row>
    <row r="104">
      <c r="B104" s="28"/>
      <c r="C104" s="28"/>
      <c r="E104" s="55"/>
      <c r="F104" s="55"/>
      <c r="K104" s="55"/>
      <c r="L104" s="55"/>
    </row>
    <row r="105">
      <c r="B105" s="28"/>
      <c r="C105" s="28"/>
      <c r="E105" s="55"/>
      <c r="F105" s="55"/>
      <c r="K105" s="55"/>
      <c r="L105" s="55"/>
    </row>
    <row r="106">
      <c r="B106" s="28"/>
      <c r="C106" s="28"/>
      <c r="E106" s="55"/>
      <c r="F106" s="55"/>
      <c r="K106" s="55"/>
      <c r="L106" s="55"/>
    </row>
    <row r="107">
      <c r="B107" s="28"/>
      <c r="C107" s="28"/>
      <c r="E107" s="55"/>
      <c r="F107" s="55"/>
      <c r="K107" s="55"/>
      <c r="L107" s="55"/>
    </row>
    <row r="108">
      <c r="B108" s="28"/>
      <c r="C108" s="28"/>
      <c r="E108" s="55"/>
      <c r="F108" s="55"/>
      <c r="K108" s="55"/>
      <c r="L108" s="55"/>
    </row>
    <row r="109">
      <c r="B109" s="28"/>
      <c r="C109" s="28"/>
      <c r="E109" s="55"/>
      <c r="F109" s="55"/>
      <c r="K109" s="55"/>
      <c r="L109" s="55"/>
    </row>
    <row r="110">
      <c r="B110" s="28"/>
      <c r="C110" s="28"/>
      <c r="E110" s="55"/>
      <c r="F110" s="55"/>
      <c r="K110" s="55"/>
      <c r="L110" s="55"/>
    </row>
    <row r="111">
      <c r="B111" s="28"/>
      <c r="C111" s="28"/>
      <c r="E111" s="55"/>
      <c r="F111" s="55"/>
      <c r="K111" s="55"/>
      <c r="L111" s="55"/>
    </row>
    <row r="112">
      <c r="B112" s="28"/>
      <c r="C112" s="28"/>
      <c r="E112" s="55"/>
      <c r="F112" s="55"/>
      <c r="K112" s="55"/>
      <c r="L112" s="55"/>
    </row>
    <row r="113">
      <c r="B113" s="28"/>
      <c r="C113" s="28"/>
      <c r="E113" s="55"/>
      <c r="F113" s="55"/>
      <c r="K113" s="55"/>
      <c r="L113" s="55"/>
    </row>
    <row r="114">
      <c r="B114" s="28"/>
      <c r="C114" s="28"/>
      <c r="E114" s="55"/>
      <c r="F114" s="55"/>
      <c r="K114" s="55"/>
      <c r="L114" s="55"/>
    </row>
    <row r="115">
      <c r="B115" s="28"/>
      <c r="C115" s="28"/>
      <c r="E115" s="55"/>
      <c r="F115" s="55"/>
      <c r="K115" s="55"/>
      <c r="L115" s="55"/>
    </row>
    <row r="116">
      <c r="B116" s="28"/>
      <c r="C116" s="28"/>
      <c r="E116" s="55"/>
      <c r="F116" s="55"/>
      <c r="K116" s="55"/>
      <c r="L116" s="55"/>
    </row>
    <row r="117">
      <c r="B117" s="28"/>
      <c r="C117" s="28"/>
      <c r="E117" s="55"/>
      <c r="F117" s="55"/>
      <c r="K117" s="55"/>
      <c r="L117" s="55"/>
    </row>
    <row r="118">
      <c r="B118" s="28"/>
      <c r="C118" s="28"/>
      <c r="E118" s="55"/>
      <c r="F118" s="55"/>
      <c r="K118" s="55"/>
      <c r="L118" s="55"/>
    </row>
    <row r="119">
      <c r="B119" s="28"/>
      <c r="C119" s="28"/>
      <c r="E119" s="55"/>
      <c r="F119" s="55"/>
      <c r="K119" s="55"/>
      <c r="L119" s="55"/>
    </row>
    <row r="120">
      <c r="B120" s="28"/>
      <c r="C120" s="28"/>
      <c r="E120" s="55"/>
      <c r="F120" s="55"/>
      <c r="K120" s="55"/>
      <c r="L120" s="55"/>
    </row>
    <row r="121">
      <c r="B121" s="28"/>
      <c r="C121" s="28"/>
      <c r="E121" s="55"/>
      <c r="F121" s="55"/>
      <c r="K121" s="55"/>
      <c r="L121" s="55"/>
    </row>
    <row r="122">
      <c r="B122" s="28"/>
      <c r="C122" s="28"/>
      <c r="E122" s="55"/>
      <c r="F122" s="55"/>
      <c r="K122" s="55"/>
      <c r="L122" s="55"/>
    </row>
    <row r="123">
      <c r="B123" s="28"/>
      <c r="C123" s="28"/>
      <c r="E123" s="55"/>
      <c r="F123" s="55"/>
      <c r="K123" s="55"/>
      <c r="L123" s="55"/>
    </row>
    <row r="124">
      <c r="B124" s="28"/>
      <c r="C124" s="28"/>
      <c r="E124" s="55"/>
      <c r="F124" s="55"/>
      <c r="K124" s="55"/>
      <c r="L124" s="55"/>
    </row>
    <row r="125">
      <c r="B125" s="28"/>
      <c r="C125" s="28"/>
      <c r="E125" s="55"/>
      <c r="F125" s="55"/>
      <c r="K125" s="55"/>
      <c r="L125" s="55"/>
    </row>
    <row r="126">
      <c r="B126" s="28"/>
      <c r="C126" s="28"/>
      <c r="E126" s="55"/>
      <c r="F126" s="55"/>
      <c r="K126" s="55"/>
      <c r="L126" s="55"/>
    </row>
    <row r="127">
      <c r="B127" s="28"/>
      <c r="C127" s="28"/>
      <c r="E127" s="55"/>
      <c r="F127" s="55"/>
      <c r="K127" s="55"/>
      <c r="L127" s="55"/>
    </row>
    <row r="128">
      <c r="B128" s="28"/>
      <c r="C128" s="28"/>
      <c r="E128" s="55"/>
      <c r="F128" s="55"/>
      <c r="K128" s="55"/>
      <c r="L128" s="55"/>
    </row>
    <row r="129">
      <c r="B129" s="28"/>
      <c r="C129" s="28"/>
      <c r="E129" s="55"/>
      <c r="F129" s="55"/>
      <c r="K129" s="55"/>
      <c r="L129" s="55"/>
    </row>
    <row r="130">
      <c r="B130" s="28"/>
      <c r="C130" s="28"/>
      <c r="E130" s="55"/>
      <c r="F130" s="55"/>
      <c r="K130" s="55"/>
      <c r="L130" s="55"/>
    </row>
    <row r="131">
      <c r="B131" s="28"/>
      <c r="C131" s="28"/>
      <c r="E131" s="55"/>
      <c r="F131" s="55"/>
      <c r="K131" s="55"/>
      <c r="L131" s="55"/>
    </row>
    <row r="132">
      <c r="B132" s="28"/>
      <c r="C132" s="28"/>
      <c r="E132" s="55"/>
      <c r="F132" s="55"/>
      <c r="K132" s="55"/>
      <c r="L132" s="55"/>
    </row>
    <row r="133">
      <c r="B133" s="28"/>
      <c r="C133" s="28"/>
      <c r="E133" s="55"/>
      <c r="F133" s="55"/>
      <c r="K133" s="55"/>
      <c r="L133" s="55"/>
    </row>
    <row r="134">
      <c r="B134" s="28"/>
      <c r="C134" s="28"/>
      <c r="E134" s="55"/>
      <c r="F134" s="55"/>
      <c r="K134" s="55"/>
      <c r="L134" s="55"/>
    </row>
    <row r="135">
      <c r="B135" s="28"/>
      <c r="C135" s="28"/>
      <c r="E135" s="55"/>
      <c r="F135" s="55"/>
      <c r="K135" s="55"/>
      <c r="L135" s="55"/>
    </row>
    <row r="136">
      <c r="B136" s="28"/>
      <c r="C136" s="28"/>
      <c r="E136" s="55"/>
      <c r="F136" s="55"/>
      <c r="K136" s="55"/>
      <c r="L136" s="55"/>
    </row>
    <row r="137">
      <c r="B137" s="28"/>
      <c r="C137" s="28"/>
      <c r="E137" s="55"/>
      <c r="F137" s="55"/>
      <c r="K137" s="55"/>
      <c r="L137" s="55"/>
    </row>
    <row r="138">
      <c r="B138" s="28"/>
      <c r="C138" s="28"/>
      <c r="E138" s="55"/>
      <c r="F138" s="55"/>
      <c r="K138" s="55"/>
      <c r="L138" s="55"/>
    </row>
    <row r="139">
      <c r="B139" s="28"/>
      <c r="C139" s="28"/>
      <c r="E139" s="55"/>
      <c r="F139" s="55"/>
      <c r="K139" s="55"/>
      <c r="L139" s="55"/>
    </row>
    <row r="140">
      <c r="B140" s="28"/>
      <c r="C140" s="28"/>
      <c r="E140" s="55"/>
      <c r="F140" s="55"/>
      <c r="K140" s="55"/>
      <c r="L140" s="55"/>
    </row>
    <row r="141">
      <c r="B141" s="28"/>
      <c r="C141" s="28"/>
      <c r="E141" s="55"/>
      <c r="F141" s="55"/>
      <c r="K141" s="55"/>
      <c r="L141" s="55"/>
    </row>
    <row r="142">
      <c r="B142" s="28"/>
      <c r="C142" s="28"/>
      <c r="E142" s="55"/>
      <c r="F142" s="55"/>
      <c r="K142" s="55"/>
      <c r="L142" s="55"/>
    </row>
    <row r="143">
      <c r="B143" s="28"/>
      <c r="C143" s="28"/>
      <c r="E143" s="55"/>
      <c r="F143" s="55"/>
      <c r="K143" s="55"/>
      <c r="L143" s="55"/>
    </row>
    <row r="144">
      <c r="B144" s="28"/>
      <c r="C144" s="28"/>
      <c r="E144" s="55"/>
      <c r="F144" s="55"/>
      <c r="K144" s="55"/>
      <c r="L144" s="55"/>
    </row>
    <row r="145">
      <c r="B145" s="28"/>
      <c r="C145" s="28"/>
      <c r="E145" s="55"/>
      <c r="F145" s="55"/>
      <c r="K145" s="55"/>
      <c r="L145" s="55"/>
    </row>
    <row r="146">
      <c r="B146" s="28"/>
      <c r="C146" s="28"/>
      <c r="E146" s="55"/>
      <c r="F146" s="55"/>
      <c r="K146" s="55"/>
      <c r="L146" s="55"/>
    </row>
    <row r="147">
      <c r="B147" s="28"/>
      <c r="C147" s="28"/>
      <c r="E147" s="55"/>
      <c r="F147" s="55"/>
      <c r="K147" s="55"/>
      <c r="L147" s="55"/>
    </row>
    <row r="148">
      <c r="B148" s="28"/>
      <c r="C148" s="28"/>
      <c r="E148" s="55"/>
      <c r="F148" s="55"/>
      <c r="K148" s="55"/>
      <c r="L148" s="55"/>
    </row>
    <row r="149">
      <c r="B149" s="28"/>
      <c r="C149" s="28"/>
      <c r="E149" s="55"/>
      <c r="F149" s="55"/>
      <c r="K149" s="55"/>
      <c r="L149" s="55"/>
    </row>
    <row r="150">
      <c r="B150" s="28"/>
      <c r="C150" s="28"/>
      <c r="E150" s="55"/>
      <c r="F150" s="55"/>
      <c r="K150" s="55"/>
      <c r="L150" s="55"/>
    </row>
    <row r="151">
      <c r="B151" s="28"/>
      <c r="C151" s="28"/>
      <c r="E151" s="55"/>
      <c r="F151" s="55"/>
      <c r="K151" s="55"/>
      <c r="L151" s="55"/>
    </row>
    <row r="152">
      <c r="B152" s="28"/>
      <c r="C152" s="28"/>
      <c r="E152" s="55"/>
      <c r="F152" s="55"/>
      <c r="K152" s="55"/>
      <c r="L152" s="55"/>
    </row>
    <row r="153">
      <c r="B153" s="28"/>
      <c r="C153" s="28"/>
      <c r="E153" s="55"/>
      <c r="F153" s="55"/>
      <c r="K153" s="55"/>
      <c r="L153" s="55"/>
    </row>
    <row r="154">
      <c r="B154" s="28"/>
      <c r="C154" s="28"/>
      <c r="E154" s="55"/>
      <c r="F154" s="55"/>
      <c r="K154" s="55"/>
      <c r="L154" s="55"/>
    </row>
    <row r="155">
      <c r="B155" s="28"/>
      <c r="C155" s="28"/>
      <c r="E155" s="55"/>
      <c r="F155" s="55"/>
      <c r="K155" s="55"/>
      <c r="L155" s="55"/>
    </row>
    <row r="156">
      <c r="B156" s="28"/>
      <c r="C156" s="28"/>
      <c r="E156" s="55"/>
      <c r="F156" s="55"/>
      <c r="K156" s="55"/>
      <c r="L156" s="55"/>
    </row>
    <row r="157">
      <c r="B157" s="28"/>
      <c r="C157" s="28"/>
      <c r="E157" s="55"/>
      <c r="F157" s="55"/>
      <c r="K157" s="55"/>
      <c r="L157" s="55"/>
    </row>
    <row r="158">
      <c r="B158" s="28"/>
      <c r="C158" s="28"/>
      <c r="E158" s="55"/>
      <c r="F158" s="55"/>
      <c r="K158" s="55"/>
      <c r="L158" s="55"/>
    </row>
    <row r="159">
      <c r="B159" s="28"/>
      <c r="C159" s="28"/>
      <c r="E159" s="55"/>
      <c r="F159" s="55"/>
      <c r="K159" s="55"/>
      <c r="L159" s="55"/>
    </row>
    <row r="160">
      <c r="B160" s="28"/>
      <c r="C160" s="28"/>
      <c r="E160" s="55"/>
      <c r="F160" s="55"/>
      <c r="K160" s="55"/>
      <c r="L160" s="55"/>
    </row>
    <row r="161">
      <c r="B161" s="28"/>
      <c r="C161" s="28"/>
      <c r="E161" s="55"/>
      <c r="F161" s="55"/>
      <c r="K161" s="55"/>
      <c r="L161" s="55"/>
    </row>
    <row r="162">
      <c r="B162" s="28"/>
      <c r="C162" s="28"/>
      <c r="E162" s="55"/>
      <c r="F162" s="55"/>
      <c r="K162" s="55"/>
      <c r="L162" s="55"/>
    </row>
    <row r="163">
      <c r="B163" s="28"/>
      <c r="C163" s="28"/>
      <c r="E163" s="55"/>
      <c r="F163" s="55"/>
      <c r="K163" s="55"/>
      <c r="L163" s="55"/>
    </row>
    <row r="164">
      <c r="B164" s="28"/>
      <c r="C164" s="28"/>
      <c r="E164" s="55"/>
      <c r="F164" s="55"/>
      <c r="K164" s="55"/>
      <c r="L164" s="55"/>
    </row>
    <row r="165">
      <c r="B165" s="28"/>
      <c r="C165" s="28"/>
      <c r="E165" s="55"/>
      <c r="F165" s="55"/>
      <c r="K165" s="55"/>
      <c r="L165" s="55"/>
    </row>
    <row r="166">
      <c r="B166" s="28"/>
      <c r="C166" s="28"/>
      <c r="E166" s="55"/>
      <c r="F166" s="55"/>
      <c r="K166" s="55"/>
      <c r="L166" s="55"/>
    </row>
    <row r="167">
      <c r="B167" s="28"/>
      <c r="C167" s="28"/>
      <c r="E167" s="55"/>
      <c r="F167" s="55"/>
      <c r="K167" s="55"/>
      <c r="L167" s="55"/>
    </row>
    <row r="168">
      <c r="B168" s="28"/>
      <c r="C168" s="28"/>
      <c r="E168" s="55"/>
      <c r="F168" s="55"/>
      <c r="K168" s="55"/>
      <c r="L168" s="55"/>
    </row>
    <row r="169">
      <c r="B169" s="28"/>
      <c r="C169" s="28"/>
      <c r="E169" s="55"/>
      <c r="F169" s="55"/>
      <c r="K169" s="55"/>
      <c r="L169" s="55"/>
    </row>
    <row r="170">
      <c r="B170" s="28"/>
      <c r="C170" s="28"/>
      <c r="E170" s="55"/>
      <c r="F170" s="55"/>
      <c r="K170" s="55"/>
      <c r="L170" s="55"/>
    </row>
    <row r="171">
      <c r="B171" s="28"/>
      <c r="C171" s="28"/>
      <c r="E171" s="55"/>
      <c r="F171" s="55"/>
      <c r="K171" s="55"/>
      <c r="L171" s="55"/>
    </row>
    <row r="172">
      <c r="B172" s="28"/>
      <c r="C172" s="28"/>
      <c r="E172" s="55"/>
      <c r="F172" s="55"/>
      <c r="K172" s="55"/>
      <c r="L172" s="55"/>
    </row>
    <row r="173">
      <c r="B173" s="28"/>
      <c r="C173" s="28"/>
      <c r="E173" s="55"/>
      <c r="F173" s="55"/>
      <c r="K173" s="55"/>
      <c r="L173" s="55"/>
    </row>
    <row r="174">
      <c r="B174" s="28"/>
      <c r="C174" s="28"/>
      <c r="E174" s="55"/>
      <c r="F174" s="55"/>
      <c r="K174" s="55"/>
      <c r="L174" s="55"/>
    </row>
    <row r="175">
      <c r="B175" s="28"/>
      <c r="C175" s="28"/>
      <c r="E175" s="55"/>
      <c r="F175" s="55"/>
      <c r="K175" s="55"/>
      <c r="L175" s="55"/>
    </row>
    <row r="176">
      <c r="B176" s="28"/>
      <c r="C176" s="28"/>
      <c r="E176" s="55"/>
      <c r="F176" s="55"/>
      <c r="K176" s="55"/>
      <c r="L176" s="55"/>
    </row>
    <row r="177">
      <c r="B177" s="28"/>
      <c r="C177" s="28"/>
      <c r="E177" s="55"/>
      <c r="F177" s="55"/>
      <c r="K177" s="55"/>
      <c r="L177" s="55"/>
    </row>
    <row r="178">
      <c r="B178" s="28"/>
      <c r="C178" s="28"/>
      <c r="E178" s="55"/>
      <c r="F178" s="55"/>
      <c r="K178" s="55"/>
      <c r="L178" s="55"/>
    </row>
    <row r="179">
      <c r="B179" s="28"/>
      <c r="C179" s="28"/>
      <c r="E179" s="55"/>
      <c r="F179" s="55"/>
      <c r="K179" s="55"/>
      <c r="L179" s="55"/>
    </row>
    <row r="180">
      <c r="B180" s="28"/>
      <c r="C180" s="28"/>
      <c r="E180" s="55"/>
      <c r="F180" s="55"/>
      <c r="K180" s="55"/>
      <c r="L180" s="55"/>
    </row>
    <row r="181">
      <c r="B181" s="28"/>
      <c r="C181" s="28"/>
      <c r="E181" s="55"/>
      <c r="F181" s="55"/>
      <c r="K181" s="55"/>
      <c r="L181" s="55"/>
    </row>
    <row r="182">
      <c r="B182" s="28"/>
      <c r="C182" s="28"/>
      <c r="E182" s="55"/>
      <c r="F182" s="55"/>
      <c r="K182" s="55"/>
      <c r="L182" s="55"/>
    </row>
    <row r="183">
      <c r="B183" s="28"/>
      <c r="C183" s="28"/>
      <c r="E183" s="55"/>
      <c r="F183" s="55"/>
      <c r="K183" s="55"/>
      <c r="L183" s="55"/>
    </row>
    <row r="184">
      <c r="B184" s="28"/>
      <c r="C184" s="28"/>
      <c r="E184" s="55"/>
      <c r="F184" s="55"/>
      <c r="K184" s="55"/>
      <c r="L184" s="55"/>
    </row>
    <row r="185">
      <c r="B185" s="28"/>
      <c r="C185" s="28"/>
      <c r="E185" s="55"/>
      <c r="F185" s="55"/>
      <c r="K185" s="55"/>
      <c r="L185" s="55"/>
    </row>
    <row r="186">
      <c r="B186" s="28"/>
      <c r="C186" s="28"/>
      <c r="E186" s="55"/>
      <c r="F186" s="55"/>
      <c r="K186" s="55"/>
      <c r="L186" s="55"/>
    </row>
    <row r="187">
      <c r="B187" s="28"/>
      <c r="C187" s="28"/>
      <c r="E187" s="55"/>
      <c r="F187" s="55"/>
      <c r="K187" s="55"/>
      <c r="L187" s="55"/>
    </row>
    <row r="188">
      <c r="B188" s="28"/>
      <c r="C188" s="28"/>
      <c r="E188" s="55"/>
      <c r="F188" s="55"/>
      <c r="K188" s="55"/>
      <c r="L188" s="55"/>
    </row>
    <row r="189">
      <c r="B189" s="28"/>
      <c r="C189" s="28"/>
      <c r="E189" s="55"/>
      <c r="F189" s="55"/>
      <c r="K189" s="55"/>
      <c r="L189" s="55"/>
    </row>
    <row r="190">
      <c r="B190" s="28"/>
      <c r="C190" s="28"/>
      <c r="E190" s="55"/>
      <c r="F190" s="55"/>
      <c r="K190" s="55"/>
      <c r="L190" s="55"/>
    </row>
    <row r="191">
      <c r="B191" s="28"/>
      <c r="C191" s="28"/>
      <c r="E191" s="55"/>
      <c r="F191" s="55"/>
      <c r="K191" s="55"/>
      <c r="L191" s="55"/>
    </row>
    <row r="192">
      <c r="B192" s="28"/>
      <c r="C192" s="28"/>
      <c r="E192" s="55"/>
      <c r="F192" s="55"/>
      <c r="K192" s="55"/>
      <c r="L192" s="55"/>
    </row>
    <row r="193">
      <c r="B193" s="28"/>
      <c r="C193" s="28"/>
      <c r="E193" s="55"/>
      <c r="F193" s="55"/>
      <c r="K193" s="55"/>
      <c r="L193" s="55"/>
    </row>
    <row r="194">
      <c r="B194" s="28"/>
      <c r="C194" s="28"/>
      <c r="E194" s="55"/>
      <c r="F194" s="55"/>
      <c r="K194" s="55"/>
      <c r="L194" s="55"/>
    </row>
    <row r="195">
      <c r="B195" s="28"/>
      <c r="C195" s="28"/>
      <c r="E195" s="55"/>
      <c r="F195" s="55"/>
      <c r="K195" s="55"/>
      <c r="L195" s="55"/>
    </row>
    <row r="196">
      <c r="B196" s="28"/>
      <c r="C196" s="28"/>
      <c r="E196" s="55"/>
      <c r="F196" s="55"/>
      <c r="K196" s="55"/>
      <c r="L196" s="55"/>
    </row>
    <row r="197">
      <c r="B197" s="28"/>
      <c r="C197" s="28"/>
      <c r="E197" s="55"/>
      <c r="F197" s="55"/>
      <c r="K197" s="55"/>
      <c r="L197" s="55"/>
    </row>
    <row r="198">
      <c r="B198" s="28"/>
      <c r="C198" s="28"/>
      <c r="E198" s="55"/>
      <c r="F198" s="55"/>
      <c r="K198" s="55"/>
      <c r="L198" s="55"/>
    </row>
    <row r="199">
      <c r="B199" s="28"/>
      <c r="C199" s="28"/>
      <c r="E199" s="55"/>
      <c r="F199" s="55"/>
      <c r="K199" s="55"/>
      <c r="L199" s="55"/>
    </row>
    <row r="200">
      <c r="B200" s="28"/>
      <c r="C200" s="28"/>
      <c r="E200" s="55"/>
      <c r="F200" s="55"/>
      <c r="K200" s="55"/>
      <c r="L200" s="55"/>
    </row>
    <row r="201">
      <c r="B201" s="28"/>
      <c r="C201" s="28"/>
      <c r="E201" s="55"/>
      <c r="F201" s="55"/>
      <c r="K201" s="55"/>
      <c r="L201" s="55"/>
    </row>
    <row r="202">
      <c r="B202" s="28"/>
      <c r="C202" s="28"/>
      <c r="E202" s="55"/>
      <c r="F202" s="55"/>
      <c r="K202" s="55"/>
      <c r="L202" s="55"/>
    </row>
    <row r="203">
      <c r="B203" s="28"/>
      <c r="C203" s="28"/>
      <c r="E203" s="55"/>
      <c r="F203" s="55"/>
      <c r="K203" s="55"/>
      <c r="L203" s="55"/>
    </row>
    <row r="204">
      <c r="B204" s="28"/>
      <c r="C204" s="28"/>
      <c r="E204" s="55"/>
      <c r="F204" s="55"/>
      <c r="K204" s="55"/>
      <c r="L204" s="55"/>
    </row>
    <row r="205">
      <c r="B205" s="28"/>
      <c r="C205" s="28"/>
      <c r="E205" s="55"/>
      <c r="F205" s="55"/>
      <c r="K205" s="55"/>
      <c r="L205" s="55"/>
    </row>
    <row r="206">
      <c r="B206" s="28"/>
      <c r="C206" s="28"/>
      <c r="E206" s="55"/>
      <c r="F206" s="55"/>
      <c r="K206" s="55"/>
      <c r="L206" s="55"/>
    </row>
    <row r="207">
      <c r="B207" s="28"/>
      <c r="C207" s="28"/>
      <c r="E207" s="55"/>
      <c r="F207" s="55"/>
      <c r="K207" s="55"/>
      <c r="L207" s="55"/>
    </row>
    <row r="208">
      <c r="B208" s="28"/>
      <c r="C208" s="28"/>
      <c r="E208" s="55"/>
      <c r="F208" s="55"/>
      <c r="K208" s="55"/>
      <c r="L208" s="55"/>
    </row>
    <row r="209">
      <c r="B209" s="28"/>
      <c r="C209" s="28"/>
      <c r="E209" s="55"/>
      <c r="F209" s="55"/>
      <c r="K209" s="55"/>
      <c r="L209" s="55"/>
    </row>
    <row r="210">
      <c r="B210" s="28"/>
      <c r="C210" s="28"/>
      <c r="E210" s="55"/>
      <c r="F210" s="55"/>
      <c r="K210" s="55"/>
      <c r="L210" s="55"/>
    </row>
    <row r="211">
      <c r="B211" s="28"/>
      <c r="C211" s="28"/>
      <c r="E211" s="55"/>
      <c r="F211" s="55"/>
      <c r="K211" s="55"/>
      <c r="L211" s="55"/>
    </row>
    <row r="212">
      <c r="B212" s="28"/>
      <c r="C212" s="28"/>
      <c r="E212" s="55"/>
      <c r="F212" s="55"/>
      <c r="K212" s="55"/>
      <c r="L212" s="55"/>
    </row>
    <row r="213">
      <c r="B213" s="28"/>
      <c r="C213" s="28"/>
      <c r="E213" s="55"/>
      <c r="F213" s="55"/>
      <c r="K213" s="55"/>
      <c r="L213" s="55"/>
    </row>
    <row r="214">
      <c r="B214" s="28"/>
      <c r="C214" s="28"/>
      <c r="E214" s="55"/>
      <c r="F214" s="55"/>
      <c r="K214" s="55"/>
      <c r="L214" s="55"/>
    </row>
    <row r="215">
      <c r="B215" s="28"/>
      <c r="C215" s="28"/>
      <c r="E215" s="55"/>
      <c r="F215" s="55"/>
      <c r="K215" s="55"/>
      <c r="L215" s="55"/>
    </row>
    <row r="216">
      <c r="B216" s="28"/>
      <c r="C216" s="28"/>
      <c r="E216" s="55"/>
      <c r="F216" s="55"/>
      <c r="K216" s="55"/>
      <c r="L216" s="55"/>
    </row>
    <row r="217">
      <c r="B217" s="28"/>
      <c r="C217" s="28"/>
      <c r="E217" s="55"/>
      <c r="F217" s="55"/>
      <c r="K217" s="55"/>
      <c r="L217" s="55"/>
    </row>
    <row r="218">
      <c r="B218" s="28"/>
      <c r="C218" s="28"/>
      <c r="E218" s="55"/>
      <c r="F218" s="55"/>
      <c r="K218" s="55"/>
      <c r="L218" s="55"/>
    </row>
    <row r="219">
      <c r="B219" s="28"/>
      <c r="C219" s="28"/>
      <c r="E219" s="55"/>
      <c r="F219" s="55"/>
      <c r="K219" s="55"/>
      <c r="L219" s="55"/>
    </row>
    <row r="220">
      <c r="B220" s="28"/>
      <c r="C220" s="28"/>
      <c r="E220" s="55"/>
      <c r="F220" s="55"/>
      <c r="K220" s="55"/>
      <c r="L220" s="55"/>
    </row>
    <row r="221">
      <c r="B221" s="28"/>
      <c r="C221" s="28"/>
      <c r="E221" s="55"/>
      <c r="F221" s="55"/>
      <c r="K221" s="55"/>
      <c r="L221" s="55"/>
    </row>
    <row r="222">
      <c r="B222" s="28"/>
      <c r="C222" s="28"/>
      <c r="E222" s="55"/>
      <c r="F222" s="55"/>
      <c r="K222" s="55"/>
      <c r="L222" s="55"/>
    </row>
    <row r="223">
      <c r="B223" s="28"/>
      <c r="C223" s="28"/>
      <c r="E223" s="55"/>
      <c r="F223" s="55"/>
      <c r="K223" s="55"/>
      <c r="L223" s="55"/>
    </row>
    <row r="224">
      <c r="B224" s="28"/>
      <c r="C224" s="28"/>
      <c r="E224" s="55"/>
      <c r="F224" s="55"/>
      <c r="K224" s="55"/>
      <c r="L224" s="55"/>
    </row>
    <row r="225">
      <c r="B225" s="28"/>
      <c r="C225" s="28"/>
      <c r="E225" s="55"/>
      <c r="F225" s="55"/>
      <c r="K225" s="55"/>
      <c r="L225" s="55"/>
    </row>
    <row r="226">
      <c r="B226" s="28"/>
      <c r="C226" s="28"/>
      <c r="E226" s="55"/>
      <c r="F226" s="55"/>
      <c r="K226" s="55"/>
      <c r="L226" s="55"/>
    </row>
    <row r="227">
      <c r="B227" s="28"/>
      <c r="C227" s="28"/>
      <c r="E227" s="55"/>
      <c r="F227" s="55"/>
      <c r="K227" s="55"/>
      <c r="L227" s="55"/>
    </row>
    <row r="228">
      <c r="B228" s="28"/>
      <c r="C228" s="28"/>
      <c r="E228" s="55"/>
      <c r="F228" s="55"/>
      <c r="K228" s="55"/>
      <c r="L228" s="55"/>
    </row>
    <row r="229">
      <c r="B229" s="28"/>
      <c r="C229" s="28"/>
      <c r="E229" s="55"/>
      <c r="F229" s="55"/>
      <c r="K229" s="55"/>
      <c r="L229" s="55"/>
    </row>
    <row r="230">
      <c r="B230" s="28"/>
      <c r="C230" s="28"/>
      <c r="E230" s="55"/>
      <c r="F230" s="55"/>
      <c r="K230" s="55"/>
      <c r="L230" s="55"/>
    </row>
    <row r="231">
      <c r="B231" s="28"/>
      <c r="C231" s="28"/>
      <c r="E231" s="55"/>
      <c r="F231" s="55"/>
      <c r="K231" s="55"/>
      <c r="L231" s="55"/>
    </row>
    <row r="232">
      <c r="B232" s="28"/>
      <c r="C232" s="28"/>
      <c r="E232" s="55"/>
      <c r="F232" s="55"/>
      <c r="K232" s="55"/>
      <c r="L232" s="55"/>
    </row>
    <row r="233">
      <c r="B233" s="28"/>
      <c r="C233" s="28"/>
      <c r="E233" s="55"/>
      <c r="F233" s="55"/>
      <c r="K233" s="55"/>
      <c r="L233" s="55"/>
    </row>
    <row r="234">
      <c r="B234" s="28"/>
      <c r="C234" s="28"/>
      <c r="E234" s="55"/>
      <c r="F234" s="55"/>
      <c r="K234" s="55"/>
      <c r="L234" s="55"/>
    </row>
    <row r="235">
      <c r="B235" s="28"/>
      <c r="C235" s="28"/>
      <c r="E235" s="55"/>
      <c r="F235" s="55"/>
      <c r="K235" s="55"/>
      <c r="L235" s="55"/>
    </row>
    <row r="236">
      <c r="B236" s="28"/>
      <c r="C236" s="28"/>
      <c r="E236" s="55"/>
      <c r="F236" s="55"/>
      <c r="K236" s="55"/>
      <c r="L236" s="55"/>
    </row>
    <row r="237">
      <c r="B237" s="28"/>
      <c r="C237" s="28"/>
      <c r="E237" s="55"/>
      <c r="F237" s="55"/>
      <c r="K237" s="55"/>
      <c r="L237" s="55"/>
    </row>
    <row r="238">
      <c r="B238" s="28"/>
      <c r="C238" s="28"/>
      <c r="E238" s="55"/>
      <c r="F238" s="55"/>
      <c r="K238" s="55"/>
      <c r="L238" s="55"/>
    </row>
    <row r="239">
      <c r="B239" s="28"/>
      <c r="C239" s="28"/>
      <c r="E239" s="55"/>
      <c r="F239" s="55"/>
      <c r="K239" s="55"/>
      <c r="L239" s="55"/>
    </row>
    <row r="240">
      <c r="B240" s="28"/>
      <c r="C240" s="28"/>
      <c r="E240" s="55"/>
      <c r="F240" s="55"/>
      <c r="K240" s="55"/>
      <c r="L240" s="55"/>
    </row>
    <row r="241">
      <c r="B241" s="28"/>
      <c r="C241" s="28"/>
      <c r="E241" s="55"/>
      <c r="F241" s="55"/>
      <c r="K241" s="55"/>
      <c r="L241" s="55"/>
    </row>
    <row r="242">
      <c r="B242" s="28"/>
      <c r="C242" s="28"/>
      <c r="E242" s="55"/>
      <c r="F242" s="55"/>
      <c r="K242" s="55"/>
      <c r="L242" s="55"/>
    </row>
    <row r="243">
      <c r="B243" s="28"/>
      <c r="C243" s="28"/>
      <c r="E243" s="55"/>
      <c r="F243" s="55"/>
      <c r="K243" s="55"/>
      <c r="L243" s="55"/>
    </row>
    <row r="244">
      <c r="B244" s="28"/>
      <c r="C244" s="28"/>
      <c r="E244" s="55"/>
      <c r="F244" s="55"/>
      <c r="K244" s="55"/>
      <c r="L244" s="55"/>
    </row>
    <row r="245">
      <c r="B245" s="28"/>
      <c r="C245" s="28"/>
      <c r="E245" s="55"/>
      <c r="F245" s="55"/>
      <c r="K245" s="55"/>
      <c r="L245" s="55"/>
    </row>
    <row r="246">
      <c r="B246" s="28"/>
      <c r="C246" s="28"/>
      <c r="E246" s="55"/>
      <c r="F246" s="55"/>
      <c r="K246" s="55"/>
      <c r="L246" s="55"/>
    </row>
    <row r="247">
      <c r="B247" s="28"/>
      <c r="C247" s="28"/>
      <c r="E247" s="55"/>
      <c r="F247" s="55"/>
      <c r="K247" s="55"/>
      <c r="L247" s="55"/>
    </row>
    <row r="248">
      <c r="B248" s="28"/>
      <c r="C248" s="28"/>
      <c r="E248" s="55"/>
      <c r="F248" s="55"/>
      <c r="K248" s="55"/>
      <c r="L248" s="55"/>
    </row>
    <row r="249">
      <c r="B249" s="28"/>
      <c r="C249" s="28"/>
      <c r="E249" s="55"/>
      <c r="F249" s="55"/>
      <c r="K249" s="55"/>
      <c r="L249" s="55"/>
    </row>
    <row r="250">
      <c r="B250" s="28"/>
      <c r="C250" s="28"/>
      <c r="E250" s="55"/>
      <c r="F250" s="55"/>
      <c r="K250" s="55"/>
      <c r="L250" s="55"/>
    </row>
    <row r="251">
      <c r="B251" s="28"/>
      <c r="C251" s="28"/>
      <c r="E251" s="55"/>
      <c r="F251" s="55"/>
      <c r="K251" s="55"/>
      <c r="L251" s="55"/>
    </row>
    <row r="252">
      <c r="B252" s="28"/>
      <c r="C252" s="28"/>
      <c r="E252" s="55"/>
      <c r="F252" s="55"/>
      <c r="K252" s="55"/>
      <c r="L252" s="55"/>
    </row>
    <row r="253">
      <c r="B253" s="28"/>
      <c r="C253" s="28"/>
      <c r="E253" s="55"/>
      <c r="F253" s="55"/>
      <c r="K253" s="55"/>
      <c r="L253" s="55"/>
    </row>
    <row r="254">
      <c r="B254" s="28"/>
      <c r="C254" s="28"/>
      <c r="E254" s="55"/>
      <c r="F254" s="55"/>
      <c r="K254" s="55"/>
      <c r="L254" s="55"/>
    </row>
    <row r="255">
      <c r="B255" s="28"/>
      <c r="C255" s="28"/>
      <c r="E255" s="55"/>
      <c r="F255" s="55"/>
      <c r="K255" s="55"/>
      <c r="L255" s="55"/>
    </row>
    <row r="256">
      <c r="B256" s="28"/>
      <c r="C256" s="28"/>
      <c r="E256" s="55"/>
      <c r="F256" s="55"/>
      <c r="K256" s="55"/>
      <c r="L256" s="55"/>
    </row>
    <row r="257">
      <c r="B257" s="28"/>
      <c r="C257" s="28"/>
      <c r="E257" s="55"/>
      <c r="F257" s="55"/>
      <c r="K257" s="55"/>
      <c r="L257" s="55"/>
    </row>
    <row r="258">
      <c r="B258" s="28"/>
      <c r="C258" s="28"/>
      <c r="E258" s="55"/>
      <c r="F258" s="55"/>
      <c r="K258" s="55"/>
      <c r="L258" s="55"/>
    </row>
    <row r="259">
      <c r="B259" s="28"/>
      <c r="C259" s="28"/>
      <c r="E259" s="55"/>
      <c r="F259" s="55"/>
      <c r="K259" s="55"/>
      <c r="L259" s="55"/>
    </row>
    <row r="260">
      <c r="B260" s="28"/>
      <c r="C260" s="28"/>
      <c r="E260" s="55"/>
      <c r="F260" s="55"/>
      <c r="K260" s="55"/>
      <c r="L260" s="55"/>
    </row>
    <row r="261">
      <c r="B261" s="28"/>
      <c r="C261" s="28"/>
      <c r="E261" s="55"/>
      <c r="F261" s="55"/>
      <c r="K261" s="55"/>
      <c r="L261" s="55"/>
    </row>
    <row r="262">
      <c r="B262" s="28"/>
      <c r="C262" s="28"/>
      <c r="E262" s="55"/>
      <c r="F262" s="55"/>
      <c r="K262" s="55"/>
      <c r="L262" s="55"/>
    </row>
    <row r="263">
      <c r="B263" s="28"/>
      <c r="C263" s="28"/>
      <c r="E263" s="55"/>
      <c r="F263" s="55"/>
      <c r="K263" s="55"/>
      <c r="L263" s="55"/>
    </row>
    <row r="264">
      <c r="B264" s="28"/>
      <c r="C264" s="28"/>
      <c r="E264" s="55"/>
      <c r="F264" s="55"/>
      <c r="K264" s="55"/>
      <c r="L264" s="55"/>
    </row>
    <row r="265">
      <c r="B265" s="28"/>
      <c r="C265" s="28"/>
      <c r="E265" s="55"/>
      <c r="F265" s="55"/>
      <c r="K265" s="55"/>
      <c r="L265" s="55"/>
    </row>
    <row r="266">
      <c r="B266" s="28"/>
      <c r="C266" s="28"/>
      <c r="E266" s="55"/>
      <c r="F266" s="55"/>
      <c r="K266" s="55"/>
      <c r="L266" s="55"/>
    </row>
    <row r="267">
      <c r="B267" s="28"/>
      <c r="C267" s="28"/>
      <c r="E267" s="55"/>
      <c r="F267" s="55"/>
      <c r="K267" s="55"/>
      <c r="L267" s="55"/>
    </row>
    <row r="268">
      <c r="B268" s="28"/>
      <c r="C268" s="28"/>
      <c r="E268" s="55"/>
      <c r="F268" s="55"/>
      <c r="K268" s="55"/>
      <c r="L268" s="55"/>
    </row>
    <row r="269">
      <c r="B269" s="28"/>
      <c r="C269" s="28"/>
      <c r="E269" s="55"/>
      <c r="F269" s="55"/>
      <c r="K269" s="55"/>
      <c r="L269" s="55"/>
    </row>
    <row r="270">
      <c r="B270" s="28"/>
      <c r="C270" s="28"/>
      <c r="E270" s="55"/>
      <c r="F270" s="55"/>
      <c r="K270" s="55"/>
      <c r="L270" s="55"/>
    </row>
    <row r="271">
      <c r="B271" s="28"/>
      <c r="C271" s="28"/>
      <c r="E271" s="55"/>
      <c r="F271" s="55"/>
      <c r="K271" s="55"/>
      <c r="L271" s="55"/>
    </row>
    <row r="272">
      <c r="B272" s="28"/>
      <c r="C272" s="28"/>
      <c r="E272" s="55"/>
      <c r="F272" s="55"/>
      <c r="K272" s="55"/>
      <c r="L272" s="55"/>
    </row>
    <row r="273">
      <c r="B273" s="28"/>
      <c r="C273" s="28"/>
      <c r="E273" s="55"/>
      <c r="F273" s="55"/>
      <c r="K273" s="55"/>
      <c r="L273" s="55"/>
    </row>
    <row r="274">
      <c r="B274" s="28"/>
      <c r="C274" s="28"/>
      <c r="E274" s="55"/>
      <c r="F274" s="55"/>
      <c r="K274" s="55"/>
      <c r="L274" s="55"/>
    </row>
    <row r="275">
      <c r="B275" s="28"/>
      <c r="C275" s="28"/>
      <c r="E275" s="55"/>
      <c r="F275" s="55"/>
      <c r="K275" s="55"/>
      <c r="L275" s="55"/>
    </row>
    <row r="276">
      <c r="B276" s="28"/>
      <c r="C276" s="28"/>
      <c r="E276" s="55"/>
      <c r="F276" s="55"/>
      <c r="K276" s="55"/>
      <c r="L276" s="55"/>
    </row>
    <row r="277">
      <c r="B277" s="28"/>
      <c r="C277" s="28"/>
      <c r="E277" s="55"/>
      <c r="F277" s="55"/>
      <c r="K277" s="55"/>
      <c r="L277" s="55"/>
    </row>
    <row r="278">
      <c r="B278" s="28"/>
      <c r="C278" s="28"/>
      <c r="E278" s="55"/>
      <c r="F278" s="55"/>
      <c r="K278" s="55"/>
      <c r="L278" s="55"/>
    </row>
    <row r="279">
      <c r="B279" s="28"/>
      <c r="C279" s="28"/>
      <c r="E279" s="55"/>
      <c r="F279" s="55"/>
      <c r="K279" s="55"/>
      <c r="L279" s="55"/>
    </row>
    <row r="280">
      <c r="B280" s="28"/>
      <c r="C280" s="28"/>
      <c r="E280" s="55"/>
      <c r="F280" s="55"/>
      <c r="K280" s="55"/>
      <c r="L280" s="55"/>
    </row>
    <row r="281">
      <c r="B281" s="28"/>
      <c r="C281" s="28"/>
      <c r="E281" s="55"/>
      <c r="F281" s="55"/>
      <c r="K281" s="55"/>
      <c r="L281" s="55"/>
    </row>
    <row r="282">
      <c r="B282" s="28"/>
      <c r="C282" s="28"/>
      <c r="E282" s="55"/>
      <c r="F282" s="55"/>
      <c r="K282" s="55"/>
      <c r="L282" s="55"/>
    </row>
    <row r="283">
      <c r="B283" s="28"/>
      <c r="C283" s="28"/>
      <c r="E283" s="55"/>
      <c r="F283" s="55"/>
      <c r="K283" s="55"/>
      <c r="L283" s="55"/>
    </row>
    <row r="284">
      <c r="B284" s="28"/>
      <c r="C284" s="28"/>
      <c r="E284" s="55"/>
      <c r="F284" s="55"/>
      <c r="K284" s="55"/>
      <c r="L284" s="55"/>
    </row>
    <row r="285">
      <c r="B285" s="28"/>
      <c r="C285" s="28"/>
      <c r="E285" s="55"/>
      <c r="F285" s="55"/>
      <c r="K285" s="55"/>
      <c r="L285" s="55"/>
    </row>
    <row r="286">
      <c r="B286" s="28"/>
      <c r="C286" s="28"/>
      <c r="E286" s="55"/>
      <c r="F286" s="55"/>
      <c r="K286" s="55"/>
      <c r="L286" s="55"/>
    </row>
    <row r="287">
      <c r="B287" s="28"/>
      <c r="C287" s="28"/>
      <c r="E287" s="55"/>
      <c r="F287" s="55"/>
      <c r="K287" s="55"/>
      <c r="L287" s="55"/>
    </row>
    <row r="288">
      <c r="B288" s="28"/>
      <c r="C288" s="28"/>
      <c r="E288" s="55"/>
      <c r="F288" s="55"/>
      <c r="K288" s="55"/>
      <c r="L288" s="55"/>
    </row>
    <row r="289">
      <c r="B289" s="28"/>
      <c r="C289" s="28"/>
      <c r="E289" s="55"/>
      <c r="F289" s="55"/>
      <c r="K289" s="55"/>
      <c r="L289" s="55"/>
    </row>
    <row r="290">
      <c r="B290" s="28"/>
      <c r="C290" s="28"/>
      <c r="E290" s="55"/>
      <c r="F290" s="55"/>
      <c r="K290" s="55"/>
      <c r="L290" s="55"/>
    </row>
    <row r="291">
      <c r="B291" s="28"/>
      <c r="C291" s="28"/>
      <c r="E291" s="55"/>
      <c r="F291" s="55"/>
      <c r="K291" s="55"/>
      <c r="L291" s="55"/>
    </row>
    <row r="292">
      <c r="B292" s="28"/>
      <c r="C292" s="28"/>
      <c r="E292" s="55"/>
      <c r="F292" s="55"/>
      <c r="K292" s="55"/>
      <c r="L292" s="55"/>
    </row>
    <row r="293">
      <c r="B293" s="28"/>
      <c r="C293" s="28"/>
      <c r="E293" s="55"/>
      <c r="F293" s="55"/>
      <c r="K293" s="55"/>
      <c r="L293" s="55"/>
    </row>
    <row r="294">
      <c r="B294" s="28"/>
      <c r="C294" s="28"/>
      <c r="E294" s="55"/>
      <c r="F294" s="55"/>
      <c r="K294" s="55"/>
      <c r="L294" s="55"/>
    </row>
    <row r="295">
      <c r="B295" s="28"/>
      <c r="C295" s="28"/>
      <c r="E295" s="55"/>
      <c r="F295" s="55"/>
      <c r="K295" s="55"/>
      <c r="L295" s="55"/>
    </row>
    <row r="296">
      <c r="B296" s="28"/>
      <c r="C296" s="28"/>
      <c r="E296" s="55"/>
      <c r="F296" s="55"/>
      <c r="K296" s="55"/>
      <c r="L296" s="55"/>
    </row>
    <row r="297">
      <c r="B297" s="28"/>
      <c r="C297" s="28"/>
      <c r="E297" s="55"/>
      <c r="F297" s="55"/>
      <c r="K297" s="55"/>
      <c r="L297" s="55"/>
    </row>
    <row r="298">
      <c r="B298" s="28"/>
      <c r="C298" s="28"/>
      <c r="E298" s="55"/>
      <c r="F298" s="55"/>
      <c r="K298" s="55"/>
      <c r="L298" s="55"/>
    </row>
    <row r="299">
      <c r="B299" s="28"/>
      <c r="C299" s="28"/>
      <c r="E299" s="55"/>
      <c r="F299" s="55"/>
      <c r="K299" s="55"/>
      <c r="L299" s="55"/>
    </row>
    <row r="300">
      <c r="B300" s="28"/>
      <c r="C300" s="28"/>
      <c r="E300" s="55"/>
      <c r="F300" s="55"/>
      <c r="K300" s="55"/>
      <c r="L300" s="55"/>
    </row>
    <row r="301">
      <c r="B301" s="28"/>
      <c r="C301" s="28"/>
      <c r="E301" s="55"/>
      <c r="F301" s="55"/>
      <c r="K301" s="55"/>
      <c r="L301" s="55"/>
    </row>
    <row r="302">
      <c r="B302" s="28"/>
      <c r="C302" s="28"/>
      <c r="E302" s="55"/>
      <c r="F302" s="55"/>
      <c r="K302" s="55"/>
      <c r="L302" s="55"/>
    </row>
    <row r="303">
      <c r="B303" s="28"/>
      <c r="C303" s="28"/>
      <c r="E303" s="55"/>
      <c r="F303" s="55"/>
      <c r="K303" s="55"/>
      <c r="L303" s="55"/>
    </row>
    <row r="304">
      <c r="B304" s="28"/>
      <c r="C304" s="28"/>
      <c r="E304" s="55"/>
      <c r="F304" s="55"/>
      <c r="K304" s="55"/>
      <c r="L304" s="55"/>
    </row>
    <row r="305">
      <c r="B305" s="28"/>
      <c r="C305" s="28"/>
      <c r="E305" s="55"/>
      <c r="F305" s="55"/>
      <c r="K305" s="55"/>
      <c r="L305" s="55"/>
    </row>
    <row r="306">
      <c r="B306" s="28"/>
      <c r="C306" s="28"/>
      <c r="E306" s="55"/>
      <c r="F306" s="55"/>
      <c r="K306" s="55"/>
      <c r="L306" s="55"/>
    </row>
    <row r="307">
      <c r="B307" s="28"/>
      <c r="C307" s="28"/>
      <c r="E307" s="55"/>
      <c r="F307" s="55"/>
      <c r="K307" s="55"/>
      <c r="L307" s="55"/>
    </row>
    <row r="308">
      <c r="B308" s="28"/>
      <c r="C308" s="28"/>
      <c r="E308" s="55"/>
      <c r="F308" s="55"/>
      <c r="K308" s="55"/>
      <c r="L308" s="55"/>
    </row>
    <row r="309">
      <c r="B309" s="28"/>
      <c r="C309" s="28"/>
      <c r="E309" s="55"/>
      <c r="F309" s="55"/>
      <c r="K309" s="55"/>
      <c r="L309" s="55"/>
    </row>
    <row r="310">
      <c r="B310" s="28"/>
      <c r="C310" s="28"/>
      <c r="E310" s="55"/>
      <c r="F310" s="55"/>
      <c r="K310" s="55"/>
      <c r="L310" s="55"/>
    </row>
    <row r="311">
      <c r="B311" s="28"/>
      <c r="C311" s="28"/>
      <c r="E311" s="55"/>
      <c r="F311" s="55"/>
      <c r="K311" s="55"/>
      <c r="L311" s="55"/>
    </row>
    <row r="312">
      <c r="B312" s="28"/>
      <c r="C312" s="28"/>
      <c r="E312" s="55"/>
      <c r="F312" s="55"/>
      <c r="K312" s="55"/>
      <c r="L312" s="55"/>
    </row>
    <row r="313">
      <c r="B313" s="28"/>
      <c r="C313" s="28"/>
      <c r="E313" s="55"/>
      <c r="F313" s="55"/>
      <c r="K313" s="55"/>
      <c r="L313" s="55"/>
    </row>
    <row r="314">
      <c r="B314" s="28"/>
      <c r="C314" s="28"/>
      <c r="E314" s="55"/>
      <c r="F314" s="55"/>
      <c r="K314" s="55"/>
      <c r="L314" s="55"/>
    </row>
    <row r="315">
      <c r="B315" s="28"/>
      <c r="C315" s="28"/>
      <c r="E315" s="55"/>
      <c r="F315" s="55"/>
      <c r="K315" s="55"/>
      <c r="L315" s="55"/>
    </row>
    <row r="316">
      <c r="B316" s="28"/>
      <c r="C316" s="28"/>
      <c r="E316" s="55"/>
      <c r="F316" s="55"/>
      <c r="K316" s="55"/>
      <c r="L316" s="55"/>
    </row>
    <row r="317">
      <c r="B317" s="28"/>
      <c r="C317" s="28"/>
      <c r="E317" s="55"/>
      <c r="F317" s="55"/>
      <c r="K317" s="55"/>
      <c r="L317" s="55"/>
    </row>
    <row r="318">
      <c r="B318" s="28"/>
      <c r="C318" s="28"/>
      <c r="E318" s="55"/>
      <c r="F318" s="55"/>
      <c r="K318" s="55"/>
      <c r="L318" s="55"/>
    </row>
    <row r="319">
      <c r="B319" s="28"/>
      <c r="C319" s="28"/>
      <c r="E319" s="55"/>
      <c r="F319" s="55"/>
      <c r="K319" s="55"/>
      <c r="L319" s="55"/>
    </row>
    <row r="320">
      <c r="B320" s="28"/>
      <c r="C320" s="28"/>
      <c r="E320" s="55"/>
      <c r="F320" s="55"/>
      <c r="K320" s="55"/>
      <c r="L320" s="55"/>
    </row>
    <row r="321">
      <c r="B321" s="28"/>
      <c r="C321" s="28"/>
      <c r="E321" s="55"/>
      <c r="F321" s="55"/>
      <c r="K321" s="55"/>
      <c r="L321" s="55"/>
    </row>
    <row r="322">
      <c r="B322" s="28"/>
      <c r="C322" s="28"/>
      <c r="E322" s="55"/>
      <c r="F322" s="55"/>
      <c r="K322" s="55"/>
      <c r="L322" s="55"/>
    </row>
    <row r="323">
      <c r="B323" s="28"/>
      <c r="C323" s="28"/>
      <c r="E323" s="55"/>
      <c r="F323" s="55"/>
      <c r="K323" s="55"/>
      <c r="L323" s="55"/>
    </row>
    <row r="324">
      <c r="B324" s="28"/>
      <c r="C324" s="28"/>
      <c r="E324" s="55"/>
      <c r="F324" s="55"/>
      <c r="K324" s="55"/>
      <c r="L324" s="55"/>
    </row>
    <row r="325">
      <c r="B325" s="28"/>
      <c r="C325" s="28"/>
      <c r="E325" s="55"/>
      <c r="F325" s="55"/>
      <c r="K325" s="55"/>
      <c r="L325" s="55"/>
    </row>
    <row r="326">
      <c r="B326" s="28"/>
      <c r="C326" s="28"/>
      <c r="E326" s="55"/>
      <c r="F326" s="55"/>
      <c r="K326" s="55"/>
      <c r="L326" s="55"/>
    </row>
    <row r="327">
      <c r="B327" s="28"/>
      <c r="C327" s="28"/>
      <c r="E327" s="55"/>
      <c r="F327" s="55"/>
      <c r="K327" s="55"/>
      <c r="L327" s="55"/>
    </row>
    <row r="328">
      <c r="B328" s="28"/>
      <c r="C328" s="28"/>
      <c r="E328" s="55"/>
      <c r="F328" s="55"/>
      <c r="K328" s="55"/>
      <c r="L328" s="55"/>
    </row>
    <row r="329">
      <c r="B329" s="28"/>
      <c r="C329" s="28"/>
      <c r="E329" s="55"/>
      <c r="F329" s="55"/>
      <c r="K329" s="55"/>
      <c r="L329" s="55"/>
    </row>
    <row r="330">
      <c r="B330" s="28"/>
      <c r="C330" s="28"/>
      <c r="E330" s="55"/>
      <c r="F330" s="55"/>
      <c r="K330" s="55"/>
      <c r="L330" s="55"/>
    </row>
    <row r="331">
      <c r="B331" s="28"/>
      <c r="C331" s="28"/>
      <c r="E331" s="55"/>
      <c r="F331" s="55"/>
      <c r="K331" s="55"/>
      <c r="L331" s="55"/>
    </row>
    <row r="332">
      <c r="B332" s="28"/>
      <c r="C332" s="28"/>
      <c r="E332" s="55"/>
      <c r="F332" s="55"/>
      <c r="K332" s="55"/>
      <c r="L332" s="55"/>
    </row>
    <row r="333">
      <c r="B333" s="28"/>
      <c r="C333" s="28"/>
      <c r="E333" s="55"/>
      <c r="F333" s="55"/>
      <c r="K333" s="55"/>
      <c r="L333" s="55"/>
    </row>
    <row r="334">
      <c r="B334" s="28"/>
      <c r="C334" s="28"/>
      <c r="E334" s="55"/>
      <c r="F334" s="55"/>
      <c r="K334" s="55"/>
      <c r="L334" s="55"/>
    </row>
    <row r="335">
      <c r="B335" s="28"/>
      <c r="C335" s="28"/>
      <c r="E335" s="55"/>
      <c r="F335" s="55"/>
      <c r="K335" s="55"/>
      <c r="L335" s="55"/>
    </row>
    <row r="336">
      <c r="B336" s="28"/>
      <c r="C336" s="28"/>
      <c r="E336" s="55"/>
      <c r="F336" s="55"/>
      <c r="K336" s="55"/>
      <c r="L336" s="55"/>
    </row>
    <row r="337">
      <c r="B337" s="28"/>
      <c r="C337" s="28"/>
      <c r="E337" s="55"/>
      <c r="F337" s="55"/>
      <c r="K337" s="55"/>
      <c r="L337" s="55"/>
    </row>
    <row r="338">
      <c r="B338" s="28"/>
      <c r="C338" s="28"/>
      <c r="E338" s="55"/>
      <c r="F338" s="55"/>
      <c r="K338" s="55"/>
      <c r="L338" s="55"/>
    </row>
    <row r="339">
      <c r="B339" s="28"/>
      <c r="C339" s="28"/>
      <c r="E339" s="55"/>
      <c r="F339" s="55"/>
      <c r="K339" s="55"/>
      <c r="L339" s="55"/>
    </row>
    <row r="340">
      <c r="B340" s="28"/>
      <c r="C340" s="28"/>
      <c r="E340" s="55"/>
      <c r="F340" s="55"/>
      <c r="K340" s="55"/>
      <c r="L340" s="55"/>
    </row>
    <row r="341">
      <c r="B341" s="28"/>
      <c r="C341" s="28"/>
      <c r="E341" s="55"/>
      <c r="F341" s="55"/>
      <c r="K341" s="55"/>
      <c r="L341" s="55"/>
    </row>
    <row r="342">
      <c r="B342" s="28"/>
      <c r="C342" s="28"/>
      <c r="E342" s="55"/>
      <c r="F342" s="55"/>
      <c r="K342" s="55"/>
      <c r="L342" s="55"/>
    </row>
    <row r="343">
      <c r="B343" s="28"/>
      <c r="C343" s="28"/>
      <c r="E343" s="55"/>
      <c r="F343" s="55"/>
      <c r="K343" s="55"/>
      <c r="L343" s="55"/>
    </row>
    <row r="344">
      <c r="B344" s="28"/>
      <c r="C344" s="28"/>
      <c r="E344" s="55"/>
      <c r="F344" s="55"/>
      <c r="K344" s="55"/>
      <c r="L344" s="55"/>
    </row>
    <row r="345">
      <c r="B345" s="28"/>
      <c r="C345" s="28"/>
      <c r="E345" s="55"/>
      <c r="F345" s="55"/>
      <c r="K345" s="55"/>
      <c r="L345" s="55"/>
    </row>
    <row r="346">
      <c r="B346" s="28"/>
      <c r="C346" s="28"/>
      <c r="E346" s="55"/>
      <c r="F346" s="55"/>
      <c r="K346" s="55"/>
      <c r="L346" s="55"/>
    </row>
    <row r="347">
      <c r="B347" s="28"/>
      <c r="C347" s="28"/>
      <c r="E347" s="55"/>
      <c r="F347" s="55"/>
      <c r="K347" s="55"/>
      <c r="L347" s="55"/>
    </row>
    <row r="348">
      <c r="B348" s="28"/>
      <c r="C348" s="28"/>
      <c r="E348" s="55"/>
      <c r="F348" s="55"/>
      <c r="K348" s="55"/>
      <c r="L348" s="55"/>
    </row>
    <row r="349">
      <c r="B349" s="28"/>
      <c r="C349" s="28"/>
      <c r="E349" s="55"/>
      <c r="F349" s="55"/>
      <c r="K349" s="55"/>
      <c r="L349" s="55"/>
    </row>
    <row r="350">
      <c r="B350" s="28"/>
      <c r="C350" s="28"/>
      <c r="E350" s="55"/>
      <c r="F350" s="55"/>
      <c r="K350" s="55"/>
      <c r="L350" s="55"/>
    </row>
    <row r="351">
      <c r="B351" s="28"/>
      <c r="C351" s="28"/>
      <c r="E351" s="55"/>
      <c r="F351" s="55"/>
      <c r="K351" s="55"/>
      <c r="L351" s="55"/>
    </row>
    <row r="352">
      <c r="B352" s="28"/>
      <c r="C352" s="28"/>
      <c r="E352" s="55"/>
      <c r="F352" s="55"/>
      <c r="K352" s="55"/>
      <c r="L352" s="55"/>
    </row>
    <row r="353">
      <c r="B353" s="28"/>
      <c r="C353" s="28"/>
      <c r="E353" s="55"/>
      <c r="F353" s="55"/>
      <c r="K353" s="55"/>
      <c r="L353" s="55"/>
    </row>
    <row r="354">
      <c r="B354" s="28"/>
      <c r="C354" s="28"/>
      <c r="E354" s="55"/>
      <c r="F354" s="55"/>
      <c r="K354" s="55"/>
      <c r="L354" s="55"/>
    </row>
    <row r="355">
      <c r="B355" s="28"/>
      <c r="C355" s="28"/>
      <c r="E355" s="55"/>
      <c r="F355" s="55"/>
      <c r="K355" s="55"/>
      <c r="L355" s="55"/>
    </row>
    <row r="356">
      <c r="B356" s="28"/>
      <c r="C356" s="28"/>
      <c r="E356" s="55"/>
      <c r="F356" s="55"/>
      <c r="K356" s="55"/>
      <c r="L356" s="55"/>
    </row>
    <row r="357">
      <c r="B357" s="28"/>
      <c r="C357" s="28"/>
      <c r="E357" s="55"/>
      <c r="F357" s="55"/>
      <c r="K357" s="55"/>
      <c r="L357" s="55"/>
    </row>
    <row r="358">
      <c r="B358" s="28"/>
      <c r="C358" s="28"/>
      <c r="E358" s="55"/>
      <c r="F358" s="55"/>
      <c r="K358" s="55"/>
      <c r="L358" s="55"/>
    </row>
    <row r="359">
      <c r="B359" s="28"/>
      <c r="C359" s="28"/>
      <c r="E359" s="55"/>
      <c r="F359" s="55"/>
      <c r="K359" s="55"/>
      <c r="L359" s="55"/>
    </row>
    <row r="360">
      <c r="B360" s="28"/>
      <c r="C360" s="28"/>
      <c r="E360" s="55"/>
      <c r="F360" s="55"/>
      <c r="K360" s="55"/>
      <c r="L360" s="55"/>
    </row>
    <row r="361">
      <c r="B361" s="28"/>
      <c r="C361" s="28"/>
      <c r="E361" s="55"/>
      <c r="F361" s="55"/>
      <c r="K361" s="55"/>
      <c r="L361" s="55"/>
    </row>
    <row r="362">
      <c r="B362" s="28"/>
      <c r="C362" s="28"/>
      <c r="E362" s="55"/>
      <c r="F362" s="55"/>
      <c r="K362" s="55"/>
      <c r="L362" s="55"/>
    </row>
    <row r="363">
      <c r="B363" s="28"/>
      <c r="C363" s="28"/>
      <c r="E363" s="55"/>
      <c r="F363" s="55"/>
      <c r="K363" s="55"/>
      <c r="L363" s="55"/>
    </row>
    <row r="364">
      <c r="B364" s="28"/>
      <c r="C364" s="28"/>
      <c r="E364" s="55"/>
      <c r="F364" s="55"/>
      <c r="K364" s="55"/>
      <c r="L364" s="55"/>
    </row>
    <row r="365">
      <c r="B365" s="28"/>
      <c r="C365" s="28"/>
      <c r="E365" s="55"/>
      <c r="F365" s="55"/>
      <c r="K365" s="55"/>
      <c r="L365" s="55"/>
    </row>
    <row r="366">
      <c r="B366" s="28"/>
      <c r="C366" s="28"/>
      <c r="E366" s="55"/>
      <c r="F366" s="55"/>
      <c r="K366" s="55"/>
      <c r="L366" s="55"/>
    </row>
    <row r="367">
      <c r="B367" s="28"/>
      <c r="C367" s="28"/>
      <c r="E367" s="55"/>
      <c r="F367" s="55"/>
      <c r="K367" s="55"/>
      <c r="L367" s="55"/>
    </row>
    <row r="368">
      <c r="B368" s="28"/>
      <c r="C368" s="28"/>
      <c r="E368" s="55"/>
      <c r="F368" s="55"/>
      <c r="K368" s="55"/>
      <c r="L368" s="55"/>
    </row>
    <row r="369">
      <c r="B369" s="28"/>
      <c r="C369" s="28"/>
      <c r="E369" s="55"/>
      <c r="F369" s="55"/>
      <c r="K369" s="55"/>
      <c r="L369" s="55"/>
    </row>
    <row r="370">
      <c r="B370" s="28"/>
      <c r="C370" s="28"/>
      <c r="E370" s="55"/>
      <c r="F370" s="55"/>
      <c r="K370" s="55"/>
      <c r="L370" s="55"/>
    </row>
    <row r="371">
      <c r="B371" s="28"/>
      <c r="C371" s="28"/>
      <c r="E371" s="55"/>
      <c r="F371" s="55"/>
      <c r="K371" s="55"/>
      <c r="L371" s="55"/>
    </row>
    <row r="372">
      <c r="B372" s="28"/>
      <c r="C372" s="28"/>
      <c r="E372" s="55"/>
      <c r="F372" s="55"/>
      <c r="K372" s="55"/>
      <c r="L372" s="55"/>
    </row>
    <row r="373">
      <c r="B373" s="28"/>
      <c r="C373" s="28"/>
      <c r="E373" s="55"/>
      <c r="F373" s="55"/>
      <c r="K373" s="55"/>
      <c r="L373" s="55"/>
    </row>
    <row r="374">
      <c r="B374" s="28"/>
      <c r="C374" s="28"/>
      <c r="E374" s="55"/>
      <c r="F374" s="55"/>
      <c r="K374" s="55"/>
      <c r="L374" s="55"/>
    </row>
    <row r="375">
      <c r="B375" s="28"/>
      <c r="C375" s="28"/>
      <c r="E375" s="55"/>
      <c r="F375" s="55"/>
      <c r="K375" s="55"/>
      <c r="L375" s="55"/>
    </row>
    <row r="376">
      <c r="B376" s="28"/>
      <c r="C376" s="28"/>
      <c r="E376" s="55"/>
      <c r="F376" s="55"/>
      <c r="K376" s="55"/>
      <c r="L376" s="55"/>
    </row>
    <row r="377">
      <c r="B377" s="28"/>
      <c r="C377" s="28"/>
      <c r="E377" s="55"/>
      <c r="F377" s="55"/>
      <c r="K377" s="55"/>
      <c r="L377" s="55"/>
    </row>
    <row r="378">
      <c r="B378" s="28"/>
      <c r="C378" s="28"/>
      <c r="E378" s="55"/>
      <c r="F378" s="55"/>
      <c r="K378" s="55"/>
      <c r="L378" s="55"/>
    </row>
    <row r="379">
      <c r="B379" s="28"/>
      <c r="C379" s="28"/>
      <c r="E379" s="55"/>
      <c r="F379" s="55"/>
      <c r="K379" s="55"/>
      <c r="L379" s="55"/>
    </row>
    <row r="380">
      <c r="B380" s="28"/>
      <c r="C380" s="28"/>
      <c r="E380" s="55"/>
      <c r="F380" s="55"/>
      <c r="K380" s="55"/>
      <c r="L380" s="55"/>
    </row>
    <row r="381">
      <c r="B381" s="28"/>
      <c r="C381" s="28"/>
      <c r="E381" s="55"/>
      <c r="F381" s="55"/>
      <c r="K381" s="55"/>
      <c r="L381" s="55"/>
    </row>
    <row r="382">
      <c r="B382" s="28"/>
      <c r="C382" s="28"/>
      <c r="E382" s="55"/>
      <c r="F382" s="55"/>
      <c r="K382" s="55"/>
      <c r="L382" s="55"/>
    </row>
    <row r="383">
      <c r="B383" s="28"/>
      <c r="C383" s="28"/>
      <c r="E383" s="55"/>
      <c r="F383" s="55"/>
      <c r="K383" s="55"/>
      <c r="L383" s="55"/>
    </row>
    <row r="384">
      <c r="B384" s="28"/>
      <c r="C384" s="28"/>
      <c r="E384" s="55"/>
      <c r="F384" s="55"/>
      <c r="K384" s="55"/>
      <c r="L384" s="55"/>
    </row>
    <row r="385">
      <c r="B385" s="28"/>
      <c r="C385" s="28"/>
      <c r="E385" s="55"/>
      <c r="F385" s="55"/>
      <c r="K385" s="55"/>
      <c r="L385" s="55"/>
    </row>
    <row r="386">
      <c r="B386" s="28"/>
      <c r="C386" s="28"/>
      <c r="E386" s="55"/>
      <c r="F386" s="55"/>
      <c r="K386" s="55"/>
      <c r="L386" s="55"/>
    </row>
    <row r="387">
      <c r="B387" s="28"/>
      <c r="C387" s="28"/>
      <c r="E387" s="55"/>
      <c r="F387" s="55"/>
      <c r="K387" s="55"/>
      <c r="L387" s="55"/>
    </row>
    <row r="388">
      <c r="B388" s="28"/>
      <c r="C388" s="28"/>
      <c r="E388" s="55"/>
      <c r="F388" s="55"/>
      <c r="K388" s="55"/>
      <c r="L388" s="55"/>
    </row>
    <row r="389">
      <c r="B389" s="28"/>
      <c r="C389" s="28"/>
      <c r="E389" s="55"/>
      <c r="F389" s="55"/>
      <c r="K389" s="55"/>
      <c r="L389" s="55"/>
    </row>
    <row r="390">
      <c r="B390" s="28"/>
      <c r="C390" s="28"/>
      <c r="E390" s="55"/>
      <c r="F390" s="55"/>
      <c r="K390" s="55"/>
      <c r="L390" s="55"/>
    </row>
    <row r="391">
      <c r="B391" s="28"/>
      <c r="C391" s="28"/>
      <c r="E391" s="55"/>
      <c r="F391" s="55"/>
      <c r="K391" s="55"/>
      <c r="L391" s="55"/>
    </row>
    <row r="392">
      <c r="B392" s="28"/>
      <c r="C392" s="28"/>
      <c r="E392" s="55"/>
      <c r="F392" s="55"/>
      <c r="K392" s="55"/>
      <c r="L392" s="55"/>
    </row>
    <row r="393">
      <c r="B393" s="28"/>
      <c r="C393" s="28"/>
      <c r="E393" s="55"/>
      <c r="F393" s="55"/>
      <c r="K393" s="55"/>
      <c r="L393" s="55"/>
    </row>
    <row r="394">
      <c r="B394" s="28"/>
      <c r="C394" s="28"/>
      <c r="E394" s="55"/>
      <c r="F394" s="55"/>
      <c r="K394" s="55"/>
      <c r="L394" s="55"/>
    </row>
    <row r="395">
      <c r="B395" s="28"/>
      <c r="C395" s="28"/>
      <c r="E395" s="55"/>
      <c r="F395" s="55"/>
      <c r="K395" s="55"/>
      <c r="L395" s="55"/>
    </row>
    <row r="396">
      <c r="B396" s="28"/>
      <c r="C396" s="28"/>
      <c r="E396" s="55"/>
      <c r="F396" s="55"/>
      <c r="K396" s="55"/>
      <c r="L396" s="55"/>
    </row>
    <row r="397">
      <c r="B397" s="28"/>
      <c r="C397" s="28"/>
      <c r="E397" s="55"/>
      <c r="F397" s="55"/>
      <c r="K397" s="55"/>
      <c r="L397" s="55"/>
    </row>
    <row r="398">
      <c r="B398" s="28"/>
      <c r="C398" s="28"/>
      <c r="E398" s="55"/>
      <c r="F398" s="55"/>
      <c r="K398" s="55"/>
      <c r="L398" s="55"/>
    </row>
    <row r="399">
      <c r="B399" s="28"/>
      <c r="C399" s="28"/>
      <c r="E399" s="55"/>
      <c r="F399" s="55"/>
      <c r="K399" s="55"/>
      <c r="L399" s="55"/>
    </row>
    <row r="400">
      <c r="B400" s="28"/>
      <c r="C400" s="28"/>
      <c r="E400" s="55"/>
      <c r="F400" s="55"/>
      <c r="K400" s="55"/>
      <c r="L400" s="55"/>
    </row>
    <row r="401">
      <c r="B401" s="28"/>
      <c r="C401" s="28"/>
      <c r="E401" s="55"/>
      <c r="F401" s="55"/>
      <c r="K401" s="55"/>
      <c r="L401" s="55"/>
    </row>
    <row r="402">
      <c r="B402" s="28"/>
      <c r="C402" s="28"/>
      <c r="E402" s="55"/>
      <c r="F402" s="55"/>
      <c r="K402" s="55"/>
      <c r="L402" s="55"/>
    </row>
    <row r="403">
      <c r="B403" s="28"/>
      <c r="C403" s="28"/>
      <c r="E403" s="55"/>
      <c r="F403" s="55"/>
      <c r="K403" s="55"/>
      <c r="L403" s="55"/>
    </row>
    <row r="404">
      <c r="B404" s="28"/>
      <c r="C404" s="28"/>
      <c r="E404" s="55"/>
      <c r="F404" s="55"/>
      <c r="K404" s="55"/>
      <c r="L404" s="55"/>
    </row>
    <row r="405">
      <c r="B405" s="28"/>
      <c r="C405" s="28"/>
      <c r="E405" s="55"/>
      <c r="F405" s="55"/>
      <c r="K405" s="55"/>
      <c r="L405" s="55"/>
    </row>
    <row r="406">
      <c r="B406" s="28"/>
      <c r="C406" s="28"/>
      <c r="E406" s="55"/>
      <c r="F406" s="55"/>
      <c r="K406" s="55"/>
      <c r="L406" s="55"/>
    </row>
    <row r="407">
      <c r="B407" s="28"/>
      <c r="C407" s="28"/>
      <c r="E407" s="55"/>
      <c r="F407" s="55"/>
      <c r="K407" s="55"/>
      <c r="L407" s="55"/>
    </row>
    <row r="408">
      <c r="B408" s="28"/>
      <c r="C408" s="28"/>
      <c r="E408" s="55"/>
      <c r="F408" s="55"/>
      <c r="K408" s="55"/>
      <c r="L408" s="55"/>
    </row>
    <row r="409">
      <c r="B409" s="28"/>
      <c r="C409" s="28"/>
      <c r="E409" s="55"/>
      <c r="F409" s="55"/>
      <c r="K409" s="55"/>
      <c r="L409" s="55"/>
    </row>
    <row r="410">
      <c r="B410" s="28"/>
      <c r="C410" s="28"/>
      <c r="E410" s="55"/>
      <c r="F410" s="55"/>
      <c r="K410" s="55"/>
      <c r="L410" s="55"/>
    </row>
    <row r="411">
      <c r="B411" s="28"/>
      <c r="C411" s="28"/>
      <c r="E411" s="55"/>
      <c r="F411" s="55"/>
      <c r="K411" s="55"/>
      <c r="L411" s="55"/>
    </row>
    <row r="412">
      <c r="B412" s="28"/>
      <c r="C412" s="28"/>
      <c r="E412" s="55"/>
      <c r="F412" s="55"/>
      <c r="K412" s="55"/>
      <c r="L412" s="55"/>
    </row>
    <row r="413">
      <c r="B413" s="28"/>
      <c r="C413" s="28"/>
      <c r="E413" s="55"/>
      <c r="F413" s="55"/>
      <c r="K413" s="55"/>
      <c r="L413" s="55"/>
    </row>
    <row r="414">
      <c r="B414" s="28"/>
      <c r="C414" s="28"/>
      <c r="E414" s="55"/>
      <c r="F414" s="55"/>
      <c r="K414" s="55"/>
      <c r="L414" s="55"/>
    </row>
    <row r="415">
      <c r="B415" s="28"/>
      <c r="C415" s="28"/>
      <c r="E415" s="55"/>
      <c r="F415" s="55"/>
      <c r="K415" s="55"/>
      <c r="L415" s="55"/>
    </row>
    <row r="416">
      <c r="B416" s="28"/>
      <c r="C416" s="28"/>
      <c r="E416" s="55"/>
      <c r="F416" s="55"/>
      <c r="K416" s="55"/>
      <c r="L416" s="55"/>
    </row>
    <row r="417">
      <c r="B417" s="28"/>
      <c r="C417" s="28"/>
      <c r="E417" s="55"/>
      <c r="F417" s="55"/>
      <c r="K417" s="55"/>
      <c r="L417" s="55"/>
    </row>
    <row r="418">
      <c r="B418" s="28"/>
      <c r="C418" s="28"/>
      <c r="E418" s="55"/>
      <c r="F418" s="55"/>
      <c r="K418" s="55"/>
      <c r="L418" s="55"/>
    </row>
    <row r="419">
      <c r="B419" s="28"/>
      <c r="C419" s="28"/>
      <c r="E419" s="55"/>
      <c r="F419" s="55"/>
      <c r="K419" s="55"/>
      <c r="L419" s="55"/>
    </row>
    <row r="420">
      <c r="B420" s="28"/>
      <c r="C420" s="28"/>
      <c r="E420" s="55"/>
      <c r="F420" s="55"/>
      <c r="K420" s="55"/>
      <c r="L420" s="55"/>
    </row>
    <row r="421">
      <c r="B421" s="28"/>
      <c r="C421" s="28"/>
      <c r="E421" s="55"/>
      <c r="F421" s="55"/>
      <c r="K421" s="55"/>
      <c r="L421" s="55"/>
    </row>
    <row r="422">
      <c r="B422" s="28"/>
      <c r="C422" s="28"/>
      <c r="E422" s="55"/>
      <c r="F422" s="55"/>
      <c r="K422" s="55"/>
      <c r="L422" s="55"/>
    </row>
    <row r="423">
      <c r="B423" s="28"/>
      <c r="C423" s="28"/>
      <c r="E423" s="55"/>
      <c r="F423" s="55"/>
      <c r="K423" s="55"/>
      <c r="L423" s="55"/>
    </row>
    <row r="424">
      <c r="B424" s="28"/>
      <c r="C424" s="28"/>
      <c r="E424" s="55"/>
      <c r="F424" s="55"/>
      <c r="K424" s="55"/>
      <c r="L424" s="55"/>
    </row>
    <row r="425">
      <c r="B425" s="28"/>
      <c r="C425" s="28"/>
      <c r="E425" s="55"/>
      <c r="F425" s="55"/>
      <c r="K425" s="55"/>
      <c r="L425" s="55"/>
    </row>
    <row r="426">
      <c r="B426" s="28"/>
      <c r="C426" s="28"/>
      <c r="E426" s="55"/>
      <c r="F426" s="55"/>
      <c r="K426" s="55"/>
      <c r="L426" s="55"/>
    </row>
    <row r="427">
      <c r="B427" s="28"/>
      <c r="C427" s="28"/>
      <c r="E427" s="55"/>
      <c r="F427" s="55"/>
      <c r="K427" s="55"/>
      <c r="L427" s="55"/>
    </row>
    <row r="428">
      <c r="B428" s="28"/>
      <c r="C428" s="28"/>
      <c r="E428" s="55"/>
      <c r="F428" s="55"/>
      <c r="K428" s="55"/>
      <c r="L428" s="55"/>
    </row>
    <row r="429">
      <c r="B429" s="28"/>
      <c r="C429" s="28"/>
      <c r="E429" s="55"/>
      <c r="F429" s="55"/>
      <c r="K429" s="55"/>
      <c r="L429" s="55"/>
    </row>
    <row r="430">
      <c r="B430" s="28"/>
      <c r="C430" s="28"/>
      <c r="E430" s="55"/>
      <c r="F430" s="55"/>
      <c r="K430" s="55"/>
      <c r="L430" s="55"/>
    </row>
    <row r="431">
      <c r="B431" s="28"/>
      <c r="C431" s="28"/>
      <c r="E431" s="55"/>
      <c r="F431" s="55"/>
      <c r="K431" s="55"/>
      <c r="L431" s="55"/>
    </row>
    <row r="432">
      <c r="B432" s="28"/>
      <c r="C432" s="28"/>
      <c r="E432" s="55"/>
      <c r="F432" s="55"/>
      <c r="K432" s="55"/>
      <c r="L432" s="55"/>
    </row>
    <row r="433">
      <c r="B433" s="28"/>
      <c r="C433" s="28"/>
      <c r="E433" s="55"/>
      <c r="F433" s="55"/>
      <c r="K433" s="55"/>
      <c r="L433" s="55"/>
    </row>
    <row r="434">
      <c r="B434" s="28"/>
      <c r="C434" s="28"/>
      <c r="E434" s="55"/>
      <c r="F434" s="55"/>
      <c r="K434" s="55"/>
      <c r="L434" s="55"/>
    </row>
    <row r="435">
      <c r="B435" s="28"/>
      <c r="C435" s="28"/>
      <c r="E435" s="55"/>
      <c r="F435" s="55"/>
      <c r="K435" s="55"/>
      <c r="L435" s="55"/>
    </row>
    <row r="436">
      <c r="B436" s="28"/>
      <c r="C436" s="28"/>
      <c r="E436" s="55"/>
      <c r="F436" s="55"/>
      <c r="K436" s="55"/>
      <c r="L436" s="55"/>
    </row>
    <row r="437">
      <c r="B437" s="28"/>
      <c r="C437" s="28"/>
      <c r="E437" s="55"/>
      <c r="F437" s="55"/>
      <c r="K437" s="55"/>
      <c r="L437" s="55"/>
    </row>
    <row r="438">
      <c r="B438" s="28"/>
      <c r="C438" s="28"/>
      <c r="E438" s="55"/>
      <c r="F438" s="55"/>
      <c r="K438" s="55"/>
      <c r="L438" s="55"/>
    </row>
    <row r="439">
      <c r="B439" s="28"/>
      <c r="C439" s="28"/>
      <c r="E439" s="55"/>
      <c r="F439" s="55"/>
      <c r="K439" s="55"/>
      <c r="L439" s="55"/>
    </row>
    <row r="440">
      <c r="B440" s="28"/>
      <c r="C440" s="28"/>
      <c r="E440" s="55"/>
      <c r="F440" s="55"/>
      <c r="K440" s="55"/>
      <c r="L440" s="55"/>
    </row>
    <row r="441">
      <c r="B441" s="28"/>
      <c r="C441" s="28"/>
      <c r="E441" s="55"/>
      <c r="F441" s="55"/>
      <c r="K441" s="55"/>
      <c r="L441" s="55"/>
    </row>
    <row r="442">
      <c r="B442" s="28"/>
      <c r="C442" s="28"/>
      <c r="E442" s="55"/>
      <c r="F442" s="55"/>
      <c r="K442" s="55"/>
      <c r="L442" s="55"/>
    </row>
    <row r="443">
      <c r="B443" s="28"/>
      <c r="C443" s="28"/>
      <c r="E443" s="55"/>
      <c r="F443" s="55"/>
      <c r="K443" s="55"/>
      <c r="L443" s="55"/>
    </row>
    <row r="444">
      <c r="B444" s="28"/>
      <c r="C444" s="28"/>
      <c r="E444" s="55"/>
      <c r="F444" s="55"/>
      <c r="K444" s="55"/>
      <c r="L444" s="55"/>
    </row>
    <row r="445">
      <c r="B445" s="28"/>
      <c r="C445" s="28"/>
      <c r="E445" s="55"/>
      <c r="F445" s="55"/>
      <c r="K445" s="55"/>
      <c r="L445" s="55"/>
    </row>
    <row r="446">
      <c r="B446" s="28"/>
      <c r="C446" s="28"/>
      <c r="E446" s="55"/>
      <c r="F446" s="55"/>
      <c r="K446" s="55"/>
      <c r="L446" s="55"/>
    </row>
    <row r="447">
      <c r="B447" s="28"/>
      <c r="C447" s="28"/>
      <c r="E447" s="55"/>
      <c r="F447" s="55"/>
      <c r="K447" s="55"/>
      <c r="L447" s="55"/>
    </row>
    <row r="448">
      <c r="B448" s="28"/>
      <c r="C448" s="28"/>
      <c r="E448" s="55"/>
      <c r="F448" s="55"/>
      <c r="K448" s="55"/>
      <c r="L448" s="55"/>
    </row>
    <row r="449">
      <c r="B449" s="28"/>
      <c r="C449" s="28"/>
      <c r="E449" s="55"/>
      <c r="F449" s="55"/>
      <c r="K449" s="55"/>
      <c r="L449" s="55"/>
    </row>
    <row r="450">
      <c r="B450" s="28"/>
      <c r="C450" s="28"/>
      <c r="E450" s="55"/>
      <c r="F450" s="55"/>
      <c r="K450" s="55"/>
      <c r="L450" s="55"/>
    </row>
    <row r="451">
      <c r="B451" s="28"/>
      <c r="C451" s="28"/>
      <c r="E451" s="55"/>
      <c r="F451" s="55"/>
      <c r="K451" s="55"/>
      <c r="L451" s="55"/>
    </row>
    <row r="452">
      <c r="B452" s="28"/>
      <c r="C452" s="28"/>
      <c r="E452" s="55"/>
      <c r="F452" s="55"/>
      <c r="K452" s="55"/>
      <c r="L452" s="55"/>
    </row>
    <row r="453">
      <c r="B453" s="28"/>
      <c r="C453" s="28"/>
      <c r="E453" s="55"/>
      <c r="F453" s="55"/>
      <c r="K453" s="55"/>
      <c r="L453" s="55"/>
    </row>
    <row r="454">
      <c r="B454" s="28"/>
      <c r="C454" s="28"/>
      <c r="E454" s="55"/>
      <c r="F454" s="55"/>
      <c r="K454" s="55"/>
      <c r="L454" s="55"/>
    </row>
    <row r="455">
      <c r="B455" s="28"/>
      <c r="C455" s="28"/>
      <c r="E455" s="55"/>
      <c r="F455" s="55"/>
      <c r="K455" s="55"/>
      <c r="L455" s="55"/>
    </row>
    <row r="456">
      <c r="B456" s="28"/>
      <c r="C456" s="28"/>
      <c r="E456" s="55"/>
      <c r="F456" s="55"/>
      <c r="K456" s="55"/>
      <c r="L456" s="55"/>
    </row>
    <row r="457">
      <c r="B457" s="28"/>
      <c r="C457" s="28"/>
      <c r="E457" s="55"/>
      <c r="F457" s="55"/>
      <c r="K457" s="55"/>
      <c r="L457" s="55"/>
    </row>
    <row r="458">
      <c r="B458" s="28"/>
      <c r="C458" s="28"/>
      <c r="E458" s="55"/>
      <c r="F458" s="55"/>
      <c r="K458" s="55"/>
      <c r="L458" s="55"/>
    </row>
    <row r="459">
      <c r="B459" s="28"/>
      <c r="C459" s="28"/>
      <c r="E459" s="55"/>
      <c r="F459" s="55"/>
      <c r="K459" s="55"/>
      <c r="L459" s="55"/>
    </row>
    <row r="460">
      <c r="B460" s="28"/>
      <c r="C460" s="28"/>
      <c r="E460" s="55"/>
      <c r="F460" s="55"/>
      <c r="K460" s="55"/>
      <c r="L460" s="55"/>
    </row>
    <row r="461">
      <c r="B461" s="28"/>
      <c r="C461" s="28"/>
      <c r="E461" s="55"/>
      <c r="F461" s="55"/>
      <c r="K461" s="55"/>
      <c r="L461" s="55"/>
    </row>
    <row r="462">
      <c r="B462" s="28"/>
      <c r="C462" s="28"/>
      <c r="E462" s="55"/>
      <c r="F462" s="55"/>
      <c r="K462" s="55"/>
      <c r="L462" s="55"/>
    </row>
    <row r="463">
      <c r="B463" s="28"/>
      <c r="C463" s="28"/>
      <c r="E463" s="55"/>
      <c r="F463" s="55"/>
      <c r="K463" s="55"/>
      <c r="L463" s="55"/>
    </row>
    <row r="464">
      <c r="B464" s="28"/>
      <c r="C464" s="28"/>
      <c r="E464" s="55"/>
      <c r="F464" s="55"/>
      <c r="K464" s="55"/>
      <c r="L464" s="55"/>
    </row>
    <row r="465">
      <c r="B465" s="28"/>
      <c r="C465" s="28"/>
      <c r="E465" s="55"/>
      <c r="F465" s="55"/>
      <c r="K465" s="55"/>
      <c r="L465" s="55"/>
    </row>
    <row r="466">
      <c r="B466" s="28"/>
      <c r="C466" s="28"/>
      <c r="E466" s="55"/>
      <c r="F466" s="55"/>
      <c r="K466" s="55"/>
      <c r="L466" s="55"/>
    </row>
    <row r="467">
      <c r="B467" s="28"/>
      <c r="C467" s="28"/>
      <c r="E467" s="55"/>
      <c r="F467" s="55"/>
      <c r="K467" s="55"/>
      <c r="L467" s="55"/>
    </row>
    <row r="468">
      <c r="B468" s="28"/>
      <c r="C468" s="28"/>
      <c r="E468" s="55"/>
      <c r="F468" s="55"/>
      <c r="K468" s="55"/>
      <c r="L468" s="55"/>
    </row>
    <row r="469">
      <c r="B469" s="28"/>
      <c r="C469" s="28"/>
      <c r="E469" s="55"/>
      <c r="F469" s="55"/>
      <c r="K469" s="55"/>
      <c r="L469" s="55"/>
    </row>
    <row r="470">
      <c r="B470" s="28"/>
      <c r="C470" s="28"/>
      <c r="E470" s="55"/>
      <c r="F470" s="55"/>
      <c r="K470" s="55"/>
      <c r="L470" s="55"/>
    </row>
    <row r="471">
      <c r="B471" s="28"/>
      <c r="C471" s="28"/>
      <c r="E471" s="55"/>
      <c r="F471" s="55"/>
      <c r="K471" s="55"/>
      <c r="L471" s="55"/>
    </row>
    <row r="472">
      <c r="B472" s="28"/>
      <c r="C472" s="28"/>
      <c r="E472" s="55"/>
      <c r="F472" s="55"/>
      <c r="K472" s="55"/>
      <c r="L472" s="55"/>
    </row>
    <row r="473">
      <c r="B473" s="28"/>
      <c r="C473" s="28"/>
      <c r="E473" s="55"/>
      <c r="F473" s="55"/>
      <c r="K473" s="55"/>
      <c r="L473" s="55"/>
    </row>
    <row r="474">
      <c r="B474" s="28"/>
      <c r="C474" s="28"/>
      <c r="E474" s="55"/>
      <c r="F474" s="55"/>
      <c r="K474" s="55"/>
      <c r="L474" s="55"/>
    </row>
    <row r="475">
      <c r="B475" s="28"/>
      <c r="C475" s="28"/>
      <c r="E475" s="55"/>
      <c r="F475" s="55"/>
      <c r="K475" s="55"/>
      <c r="L475" s="55"/>
    </row>
    <row r="476">
      <c r="B476" s="28"/>
      <c r="C476" s="28"/>
      <c r="E476" s="55"/>
      <c r="F476" s="55"/>
      <c r="K476" s="55"/>
      <c r="L476" s="55"/>
    </row>
    <row r="477">
      <c r="B477" s="28"/>
      <c r="C477" s="28"/>
      <c r="E477" s="55"/>
      <c r="F477" s="55"/>
      <c r="K477" s="55"/>
      <c r="L477" s="55"/>
    </row>
    <row r="478">
      <c r="B478" s="28"/>
      <c r="C478" s="28"/>
      <c r="E478" s="55"/>
      <c r="F478" s="55"/>
      <c r="K478" s="55"/>
      <c r="L478" s="55"/>
    </row>
    <row r="479">
      <c r="B479" s="28"/>
      <c r="C479" s="28"/>
      <c r="E479" s="55"/>
      <c r="F479" s="55"/>
      <c r="K479" s="55"/>
      <c r="L479" s="55"/>
    </row>
    <row r="480">
      <c r="B480" s="28"/>
      <c r="C480" s="28"/>
      <c r="E480" s="55"/>
      <c r="F480" s="55"/>
      <c r="K480" s="55"/>
      <c r="L480" s="55"/>
    </row>
    <row r="481">
      <c r="B481" s="28"/>
      <c r="C481" s="28"/>
      <c r="E481" s="55"/>
      <c r="F481" s="55"/>
      <c r="K481" s="55"/>
      <c r="L481" s="55"/>
    </row>
    <row r="482">
      <c r="B482" s="28"/>
      <c r="C482" s="28"/>
      <c r="E482" s="55"/>
      <c r="F482" s="55"/>
      <c r="K482" s="55"/>
      <c r="L482" s="55"/>
    </row>
    <row r="483">
      <c r="B483" s="28"/>
      <c r="C483" s="28"/>
      <c r="E483" s="55"/>
      <c r="F483" s="55"/>
      <c r="K483" s="55"/>
      <c r="L483" s="55"/>
    </row>
    <row r="484">
      <c r="B484" s="28"/>
      <c r="C484" s="28"/>
      <c r="E484" s="55"/>
      <c r="F484" s="55"/>
      <c r="K484" s="55"/>
      <c r="L484" s="55"/>
    </row>
    <row r="485">
      <c r="B485" s="28"/>
      <c r="C485" s="28"/>
      <c r="E485" s="55"/>
      <c r="F485" s="55"/>
      <c r="K485" s="55"/>
      <c r="L485" s="55"/>
    </row>
    <row r="486">
      <c r="B486" s="28"/>
      <c r="C486" s="28"/>
      <c r="E486" s="55"/>
      <c r="F486" s="55"/>
      <c r="K486" s="55"/>
      <c r="L486" s="55"/>
    </row>
    <row r="487">
      <c r="B487" s="28"/>
      <c r="C487" s="28"/>
      <c r="E487" s="55"/>
      <c r="F487" s="55"/>
      <c r="K487" s="55"/>
      <c r="L487" s="55"/>
    </row>
    <row r="488">
      <c r="B488" s="28"/>
      <c r="C488" s="28"/>
      <c r="E488" s="55"/>
      <c r="F488" s="55"/>
      <c r="K488" s="55"/>
      <c r="L488" s="55"/>
    </row>
    <row r="489">
      <c r="B489" s="28"/>
      <c r="C489" s="28"/>
      <c r="E489" s="55"/>
      <c r="F489" s="55"/>
      <c r="K489" s="55"/>
      <c r="L489" s="55"/>
    </row>
    <row r="490">
      <c r="B490" s="28"/>
      <c r="C490" s="28"/>
      <c r="E490" s="55"/>
      <c r="F490" s="55"/>
      <c r="K490" s="55"/>
      <c r="L490" s="55"/>
    </row>
    <row r="491">
      <c r="B491" s="28"/>
      <c r="C491" s="28"/>
      <c r="E491" s="55"/>
      <c r="F491" s="55"/>
      <c r="K491" s="55"/>
      <c r="L491" s="55"/>
    </row>
    <row r="492">
      <c r="B492" s="28"/>
      <c r="C492" s="28"/>
      <c r="E492" s="55"/>
      <c r="F492" s="55"/>
      <c r="K492" s="55"/>
      <c r="L492" s="55"/>
    </row>
    <row r="493">
      <c r="B493" s="28"/>
      <c r="C493" s="28"/>
      <c r="E493" s="55"/>
      <c r="F493" s="55"/>
      <c r="K493" s="55"/>
      <c r="L493" s="55"/>
    </row>
    <row r="494">
      <c r="B494" s="28"/>
      <c r="C494" s="28"/>
      <c r="E494" s="55"/>
      <c r="F494" s="55"/>
      <c r="K494" s="55"/>
      <c r="L494" s="55"/>
    </row>
    <row r="495">
      <c r="B495" s="28"/>
      <c r="C495" s="28"/>
      <c r="E495" s="55"/>
      <c r="F495" s="55"/>
      <c r="K495" s="55"/>
      <c r="L495" s="55"/>
    </row>
    <row r="496">
      <c r="B496" s="28"/>
      <c r="C496" s="28"/>
      <c r="E496" s="55"/>
      <c r="F496" s="55"/>
      <c r="K496" s="55"/>
      <c r="L496" s="55"/>
    </row>
    <row r="497">
      <c r="B497" s="28"/>
      <c r="C497" s="28"/>
      <c r="E497" s="55"/>
      <c r="F497" s="55"/>
      <c r="K497" s="55"/>
      <c r="L497" s="55"/>
    </row>
    <row r="498">
      <c r="B498" s="28"/>
      <c r="C498" s="28"/>
      <c r="E498" s="55"/>
      <c r="F498" s="55"/>
      <c r="K498" s="55"/>
      <c r="L498" s="55"/>
    </row>
    <row r="499">
      <c r="B499" s="28"/>
      <c r="C499" s="28"/>
      <c r="E499" s="55"/>
      <c r="F499" s="55"/>
      <c r="K499" s="55"/>
      <c r="L499" s="55"/>
    </row>
    <row r="500">
      <c r="B500" s="28"/>
      <c r="C500" s="28"/>
      <c r="E500" s="55"/>
      <c r="F500" s="55"/>
      <c r="K500" s="55"/>
      <c r="L500" s="55"/>
    </row>
    <row r="501">
      <c r="B501" s="28"/>
      <c r="C501" s="28"/>
      <c r="E501" s="55"/>
      <c r="F501" s="55"/>
      <c r="K501" s="55"/>
      <c r="L501" s="55"/>
    </row>
    <row r="502">
      <c r="B502" s="28"/>
      <c r="C502" s="28"/>
      <c r="E502" s="55"/>
      <c r="F502" s="55"/>
      <c r="K502" s="55"/>
      <c r="L502" s="55"/>
    </row>
    <row r="503">
      <c r="B503" s="28"/>
      <c r="C503" s="28"/>
      <c r="E503" s="55"/>
      <c r="F503" s="55"/>
      <c r="K503" s="55"/>
      <c r="L503" s="55"/>
    </row>
    <row r="504">
      <c r="B504" s="28"/>
      <c r="C504" s="28"/>
      <c r="E504" s="55"/>
      <c r="F504" s="55"/>
      <c r="K504" s="55"/>
      <c r="L504" s="55"/>
    </row>
    <row r="505">
      <c r="B505" s="28"/>
      <c r="C505" s="28"/>
      <c r="E505" s="55"/>
      <c r="F505" s="55"/>
      <c r="K505" s="55"/>
      <c r="L505" s="55"/>
    </row>
    <row r="506">
      <c r="B506" s="28"/>
      <c r="C506" s="28"/>
      <c r="E506" s="55"/>
      <c r="F506" s="55"/>
      <c r="K506" s="55"/>
      <c r="L506" s="55"/>
    </row>
    <row r="507">
      <c r="B507" s="28"/>
      <c r="C507" s="28"/>
      <c r="E507" s="55"/>
      <c r="F507" s="55"/>
      <c r="K507" s="55"/>
      <c r="L507" s="55"/>
    </row>
    <row r="508">
      <c r="B508" s="28"/>
      <c r="C508" s="28"/>
      <c r="E508" s="55"/>
      <c r="F508" s="55"/>
      <c r="K508" s="55"/>
      <c r="L508" s="55"/>
    </row>
    <row r="509">
      <c r="B509" s="28"/>
      <c r="C509" s="28"/>
      <c r="E509" s="55"/>
      <c r="F509" s="55"/>
      <c r="K509" s="55"/>
      <c r="L509" s="55"/>
    </row>
    <row r="510">
      <c r="B510" s="28"/>
      <c r="C510" s="28"/>
      <c r="E510" s="55"/>
      <c r="F510" s="55"/>
      <c r="K510" s="55"/>
      <c r="L510" s="55"/>
    </row>
    <row r="511">
      <c r="B511" s="28"/>
      <c r="C511" s="28"/>
      <c r="E511" s="55"/>
      <c r="F511" s="55"/>
      <c r="K511" s="55"/>
      <c r="L511" s="55"/>
    </row>
    <row r="512">
      <c r="B512" s="28"/>
      <c r="C512" s="28"/>
      <c r="E512" s="55"/>
      <c r="F512" s="55"/>
      <c r="K512" s="55"/>
      <c r="L512" s="55"/>
    </row>
    <row r="513">
      <c r="B513" s="28"/>
      <c r="C513" s="28"/>
      <c r="E513" s="55"/>
      <c r="F513" s="55"/>
      <c r="K513" s="55"/>
      <c r="L513" s="55"/>
    </row>
    <row r="514">
      <c r="B514" s="28"/>
      <c r="C514" s="28"/>
      <c r="E514" s="55"/>
      <c r="F514" s="55"/>
      <c r="K514" s="55"/>
      <c r="L514" s="55"/>
    </row>
    <row r="515">
      <c r="B515" s="28"/>
      <c r="C515" s="28"/>
      <c r="E515" s="55"/>
      <c r="F515" s="55"/>
      <c r="K515" s="55"/>
      <c r="L515" s="55"/>
    </row>
    <row r="516">
      <c r="B516" s="28"/>
      <c r="C516" s="28"/>
      <c r="E516" s="55"/>
      <c r="F516" s="55"/>
      <c r="K516" s="55"/>
      <c r="L516" s="55"/>
    </row>
    <row r="517">
      <c r="B517" s="28"/>
      <c r="C517" s="28"/>
      <c r="E517" s="55"/>
      <c r="F517" s="55"/>
      <c r="K517" s="55"/>
      <c r="L517" s="55"/>
    </row>
    <row r="518">
      <c r="B518" s="28"/>
      <c r="C518" s="28"/>
      <c r="E518" s="55"/>
      <c r="F518" s="55"/>
      <c r="K518" s="55"/>
      <c r="L518" s="55"/>
    </row>
    <row r="519">
      <c r="B519" s="28"/>
      <c r="C519" s="28"/>
      <c r="E519" s="55"/>
      <c r="F519" s="55"/>
      <c r="K519" s="55"/>
      <c r="L519" s="55"/>
    </row>
    <row r="520">
      <c r="B520" s="28"/>
      <c r="C520" s="28"/>
      <c r="E520" s="55"/>
      <c r="F520" s="55"/>
      <c r="K520" s="55"/>
      <c r="L520" s="55"/>
    </row>
    <row r="521">
      <c r="B521" s="28"/>
      <c r="C521" s="28"/>
      <c r="E521" s="55"/>
      <c r="F521" s="55"/>
      <c r="K521" s="55"/>
      <c r="L521" s="55"/>
    </row>
    <row r="522">
      <c r="B522" s="28"/>
      <c r="C522" s="28"/>
      <c r="E522" s="55"/>
      <c r="F522" s="55"/>
      <c r="K522" s="55"/>
      <c r="L522" s="55"/>
    </row>
    <row r="523">
      <c r="B523" s="28"/>
      <c r="C523" s="28"/>
      <c r="E523" s="55"/>
      <c r="F523" s="55"/>
      <c r="K523" s="55"/>
      <c r="L523" s="55"/>
    </row>
    <row r="524">
      <c r="B524" s="28"/>
      <c r="C524" s="28"/>
      <c r="E524" s="55"/>
      <c r="F524" s="55"/>
      <c r="K524" s="55"/>
      <c r="L524" s="55"/>
    </row>
    <row r="525">
      <c r="B525" s="28"/>
      <c r="C525" s="28"/>
      <c r="E525" s="55"/>
      <c r="F525" s="55"/>
      <c r="K525" s="55"/>
      <c r="L525" s="55"/>
    </row>
    <row r="526">
      <c r="B526" s="28"/>
      <c r="C526" s="28"/>
      <c r="E526" s="55"/>
      <c r="F526" s="55"/>
      <c r="K526" s="55"/>
      <c r="L526" s="55"/>
    </row>
    <row r="527">
      <c r="B527" s="28"/>
      <c r="C527" s="28"/>
      <c r="E527" s="55"/>
      <c r="F527" s="55"/>
      <c r="K527" s="55"/>
      <c r="L527" s="55"/>
    </row>
    <row r="528">
      <c r="B528" s="28"/>
      <c r="C528" s="28"/>
      <c r="E528" s="55"/>
      <c r="F528" s="55"/>
      <c r="K528" s="55"/>
      <c r="L528" s="55"/>
    </row>
    <row r="529">
      <c r="B529" s="28"/>
      <c r="C529" s="28"/>
      <c r="E529" s="55"/>
      <c r="F529" s="55"/>
      <c r="K529" s="55"/>
      <c r="L529" s="55"/>
    </row>
    <row r="530">
      <c r="B530" s="28"/>
      <c r="C530" s="28"/>
      <c r="E530" s="55"/>
      <c r="F530" s="55"/>
      <c r="K530" s="55"/>
      <c r="L530" s="55"/>
    </row>
    <row r="531">
      <c r="B531" s="28"/>
      <c r="C531" s="28"/>
      <c r="E531" s="55"/>
      <c r="F531" s="55"/>
      <c r="K531" s="55"/>
      <c r="L531" s="55"/>
    </row>
    <row r="532">
      <c r="B532" s="28"/>
      <c r="C532" s="28"/>
      <c r="E532" s="55"/>
      <c r="F532" s="55"/>
      <c r="K532" s="55"/>
      <c r="L532" s="55"/>
    </row>
    <row r="533">
      <c r="B533" s="28"/>
      <c r="C533" s="28"/>
      <c r="E533" s="55"/>
      <c r="F533" s="55"/>
      <c r="K533" s="55"/>
      <c r="L533" s="55"/>
    </row>
    <row r="534">
      <c r="B534" s="28"/>
      <c r="C534" s="28"/>
      <c r="E534" s="55"/>
      <c r="F534" s="55"/>
      <c r="K534" s="55"/>
      <c r="L534" s="55"/>
    </row>
    <row r="535">
      <c r="B535" s="28"/>
      <c r="C535" s="28"/>
      <c r="E535" s="55"/>
      <c r="F535" s="55"/>
      <c r="K535" s="55"/>
      <c r="L535" s="55"/>
    </row>
    <row r="536">
      <c r="B536" s="28"/>
      <c r="C536" s="28"/>
      <c r="E536" s="55"/>
      <c r="F536" s="55"/>
      <c r="K536" s="55"/>
      <c r="L536" s="55"/>
    </row>
    <row r="537">
      <c r="B537" s="28"/>
      <c r="C537" s="28"/>
      <c r="E537" s="55"/>
      <c r="F537" s="55"/>
      <c r="K537" s="55"/>
      <c r="L537" s="55"/>
    </row>
    <row r="538">
      <c r="B538" s="28"/>
      <c r="C538" s="28"/>
      <c r="E538" s="55"/>
      <c r="F538" s="55"/>
      <c r="K538" s="55"/>
      <c r="L538" s="55"/>
    </row>
    <row r="539">
      <c r="B539" s="28"/>
      <c r="C539" s="28"/>
      <c r="E539" s="55"/>
      <c r="F539" s="55"/>
      <c r="K539" s="55"/>
      <c r="L539" s="55"/>
    </row>
    <row r="540">
      <c r="B540" s="28"/>
      <c r="C540" s="28"/>
      <c r="E540" s="55"/>
      <c r="F540" s="55"/>
      <c r="K540" s="55"/>
      <c r="L540" s="55"/>
    </row>
    <row r="541">
      <c r="B541" s="28"/>
      <c r="C541" s="28"/>
      <c r="E541" s="55"/>
      <c r="F541" s="55"/>
      <c r="K541" s="55"/>
      <c r="L541" s="55"/>
    </row>
    <row r="542">
      <c r="B542" s="28"/>
      <c r="C542" s="28"/>
      <c r="E542" s="55"/>
      <c r="F542" s="55"/>
      <c r="K542" s="55"/>
      <c r="L542" s="55"/>
    </row>
    <row r="543">
      <c r="B543" s="28"/>
      <c r="C543" s="28"/>
      <c r="E543" s="55"/>
      <c r="F543" s="55"/>
      <c r="K543" s="55"/>
      <c r="L543" s="55"/>
    </row>
    <row r="544">
      <c r="B544" s="28"/>
      <c r="C544" s="28"/>
      <c r="E544" s="55"/>
      <c r="F544" s="55"/>
      <c r="K544" s="55"/>
      <c r="L544" s="55"/>
    </row>
    <row r="545">
      <c r="B545" s="28"/>
      <c r="C545" s="28"/>
      <c r="E545" s="55"/>
      <c r="F545" s="55"/>
      <c r="K545" s="55"/>
      <c r="L545" s="55"/>
    </row>
    <row r="546">
      <c r="B546" s="28"/>
      <c r="C546" s="28"/>
      <c r="E546" s="55"/>
      <c r="F546" s="55"/>
      <c r="K546" s="55"/>
      <c r="L546" s="55"/>
    </row>
    <row r="547">
      <c r="B547" s="28"/>
      <c r="C547" s="28"/>
      <c r="E547" s="55"/>
      <c r="F547" s="55"/>
      <c r="K547" s="55"/>
      <c r="L547" s="55"/>
    </row>
    <row r="548">
      <c r="B548" s="28"/>
      <c r="C548" s="28"/>
      <c r="E548" s="55"/>
      <c r="F548" s="55"/>
      <c r="K548" s="55"/>
      <c r="L548" s="55"/>
    </row>
    <row r="549">
      <c r="B549" s="28"/>
      <c r="C549" s="28"/>
      <c r="E549" s="55"/>
      <c r="F549" s="55"/>
      <c r="K549" s="55"/>
      <c r="L549" s="55"/>
    </row>
    <row r="550">
      <c r="B550" s="28"/>
      <c r="C550" s="28"/>
      <c r="E550" s="55"/>
      <c r="F550" s="55"/>
      <c r="K550" s="55"/>
      <c r="L550" s="55"/>
    </row>
    <row r="551">
      <c r="B551" s="28"/>
      <c r="C551" s="28"/>
      <c r="E551" s="55"/>
      <c r="F551" s="55"/>
      <c r="K551" s="55"/>
      <c r="L551" s="55"/>
    </row>
    <row r="552">
      <c r="B552" s="28"/>
      <c r="C552" s="28"/>
      <c r="E552" s="55"/>
      <c r="F552" s="55"/>
      <c r="K552" s="55"/>
      <c r="L552" s="55"/>
    </row>
    <row r="553">
      <c r="B553" s="28"/>
      <c r="C553" s="28"/>
      <c r="E553" s="55"/>
      <c r="F553" s="55"/>
      <c r="K553" s="55"/>
      <c r="L553" s="55"/>
    </row>
    <row r="554">
      <c r="B554" s="28"/>
      <c r="C554" s="28"/>
      <c r="E554" s="55"/>
      <c r="F554" s="55"/>
      <c r="K554" s="55"/>
      <c r="L554" s="55"/>
    </row>
    <row r="555">
      <c r="B555" s="28"/>
      <c r="C555" s="28"/>
      <c r="E555" s="55"/>
      <c r="F555" s="55"/>
      <c r="K555" s="55"/>
      <c r="L555" s="55"/>
    </row>
    <row r="556">
      <c r="B556" s="28"/>
      <c r="C556" s="28"/>
      <c r="E556" s="55"/>
      <c r="F556" s="55"/>
      <c r="K556" s="55"/>
      <c r="L556" s="55"/>
    </row>
    <row r="557">
      <c r="B557" s="28"/>
      <c r="C557" s="28"/>
      <c r="E557" s="55"/>
      <c r="F557" s="55"/>
      <c r="K557" s="55"/>
      <c r="L557" s="55"/>
    </row>
    <row r="558">
      <c r="B558" s="28"/>
      <c r="C558" s="28"/>
      <c r="E558" s="55"/>
      <c r="F558" s="55"/>
      <c r="K558" s="55"/>
      <c r="L558" s="55"/>
    </row>
    <row r="559">
      <c r="B559" s="28"/>
      <c r="C559" s="28"/>
      <c r="E559" s="55"/>
      <c r="F559" s="55"/>
      <c r="K559" s="55"/>
      <c r="L559" s="55"/>
    </row>
    <row r="560">
      <c r="B560" s="28"/>
      <c r="C560" s="28"/>
      <c r="E560" s="55"/>
      <c r="F560" s="55"/>
      <c r="K560" s="55"/>
      <c r="L560" s="55"/>
    </row>
    <row r="561">
      <c r="B561" s="28"/>
      <c r="C561" s="28"/>
      <c r="E561" s="55"/>
      <c r="F561" s="55"/>
      <c r="K561" s="55"/>
      <c r="L561" s="55"/>
    </row>
    <row r="562">
      <c r="B562" s="28"/>
      <c r="C562" s="28"/>
      <c r="E562" s="55"/>
      <c r="F562" s="55"/>
      <c r="K562" s="55"/>
      <c r="L562" s="55"/>
    </row>
    <row r="563">
      <c r="B563" s="28"/>
      <c r="C563" s="28"/>
      <c r="E563" s="55"/>
      <c r="F563" s="55"/>
      <c r="K563" s="55"/>
      <c r="L563" s="55"/>
    </row>
    <row r="564">
      <c r="B564" s="28"/>
      <c r="C564" s="28"/>
      <c r="E564" s="55"/>
      <c r="F564" s="55"/>
      <c r="K564" s="55"/>
      <c r="L564" s="55"/>
    </row>
    <row r="565">
      <c r="B565" s="28"/>
      <c r="C565" s="28"/>
      <c r="E565" s="55"/>
      <c r="F565" s="55"/>
      <c r="K565" s="55"/>
      <c r="L565" s="55"/>
    </row>
    <row r="566">
      <c r="B566" s="28"/>
      <c r="C566" s="28"/>
      <c r="E566" s="55"/>
      <c r="F566" s="55"/>
      <c r="K566" s="55"/>
      <c r="L566" s="55"/>
    </row>
    <row r="567">
      <c r="B567" s="28"/>
      <c r="C567" s="28"/>
      <c r="E567" s="55"/>
      <c r="F567" s="55"/>
      <c r="K567" s="55"/>
      <c r="L567" s="55"/>
    </row>
    <row r="568">
      <c r="B568" s="28"/>
      <c r="C568" s="28"/>
      <c r="E568" s="55"/>
      <c r="F568" s="55"/>
      <c r="K568" s="55"/>
      <c r="L568" s="55"/>
    </row>
    <row r="569">
      <c r="B569" s="28"/>
      <c r="C569" s="28"/>
      <c r="E569" s="55"/>
      <c r="F569" s="55"/>
      <c r="K569" s="55"/>
      <c r="L569" s="55"/>
    </row>
    <row r="570">
      <c r="B570" s="28"/>
      <c r="C570" s="28"/>
      <c r="E570" s="55"/>
      <c r="F570" s="55"/>
      <c r="K570" s="55"/>
      <c r="L570" s="55"/>
    </row>
    <row r="571">
      <c r="B571" s="28"/>
      <c r="C571" s="28"/>
      <c r="E571" s="55"/>
      <c r="F571" s="55"/>
      <c r="K571" s="55"/>
      <c r="L571" s="55"/>
    </row>
    <row r="572">
      <c r="B572" s="28"/>
      <c r="C572" s="28"/>
      <c r="E572" s="55"/>
      <c r="F572" s="55"/>
      <c r="K572" s="55"/>
      <c r="L572" s="55"/>
    </row>
    <row r="573">
      <c r="B573" s="28"/>
      <c r="C573" s="28"/>
      <c r="E573" s="55"/>
      <c r="F573" s="55"/>
      <c r="K573" s="55"/>
      <c r="L573" s="55"/>
    </row>
    <row r="574">
      <c r="B574" s="28"/>
      <c r="C574" s="28"/>
      <c r="E574" s="55"/>
      <c r="F574" s="55"/>
      <c r="K574" s="55"/>
      <c r="L574" s="55"/>
    </row>
    <row r="575">
      <c r="B575" s="28"/>
      <c r="C575" s="28"/>
      <c r="E575" s="55"/>
      <c r="F575" s="55"/>
      <c r="K575" s="55"/>
      <c r="L575" s="55"/>
    </row>
    <row r="576">
      <c r="B576" s="28"/>
      <c r="C576" s="28"/>
      <c r="E576" s="55"/>
      <c r="F576" s="55"/>
      <c r="K576" s="55"/>
      <c r="L576" s="55"/>
    </row>
    <row r="577">
      <c r="B577" s="28"/>
      <c r="C577" s="28"/>
      <c r="E577" s="55"/>
      <c r="F577" s="55"/>
      <c r="K577" s="55"/>
      <c r="L577" s="55"/>
    </row>
    <row r="578">
      <c r="B578" s="28"/>
      <c r="C578" s="28"/>
      <c r="E578" s="55"/>
      <c r="F578" s="55"/>
      <c r="K578" s="55"/>
      <c r="L578" s="55"/>
    </row>
    <row r="579">
      <c r="B579" s="28"/>
      <c r="C579" s="28"/>
      <c r="E579" s="55"/>
      <c r="F579" s="55"/>
      <c r="K579" s="55"/>
      <c r="L579" s="55"/>
    </row>
    <row r="580">
      <c r="B580" s="28"/>
      <c r="C580" s="28"/>
      <c r="E580" s="55"/>
      <c r="F580" s="55"/>
      <c r="K580" s="55"/>
      <c r="L580" s="55"/>
    </row>
    <row r="581">
      <c r="B581" s="28"/>
      <c r="C581" s="28"/>
      <c r="E581" s="55"/>
      <c r="F581" s="55"/>
      <c r="K581" s="55"/>
      <c r="L581" s="55"/>
    </row>
    <row r="582">
      <c r="B582" s="28"/>
      <c r="C582" s="28"/>
      <c r="E582" s="55"/>
      <c r="F582" s="55"/>
      <c r="K582" s="55"/>
      <c r="L582" s="55"/>
    </row>
    <row r="583">
      <c r="B583" s="28"/>
      <c r="C583" s="28"/>
      <c r="E583" s="55"/>
      <c r="F583" s="55"/>
      <c r="K583" s="55"/>
      <c r="L583" s="55"/>
    </row>
    <row r="584">
      <c r="B584" s="28"/>
      <c r="C584" s="28"/>
      <c r="E584" s="55"/>
      <c r="F584" s="55"/>
      <c r="K584" s="55"/>
      <c r="L584" s="55"/>
    </row>
    <row r="585">
      <c r="B585" s="28"/>
      <c r="C585" s="28"/>
      <c r="E585" s="55"/>
      <c r="F585" s="55"/>
      <c r="K585" s="55"/>
      <c r="L585" s="55"/>
    </row>
    <row r="586">
      <c r="B586" s="28"/>
      <c r="C586" s="28"/>
      <c r="E586" s="55"/>
      <c r="F586" s="55"/>
      <c r="K586" s="55"/>
      <c r="L586" s="55"/>
    </row>
    <row r="587">
      <c r="B587" s="28"/>
      <c r="C587" s="28"/>
      <c r="E587" s="55"/>
      <c r="F587" s="55"/>
      <c r="K587" s="55"/>
      <c r="L587" s="55"/>
    </row>
    <row r="588">
      <c r="B588" s="28"/>
      <c r="C588" s="28"/>
      <c r="E588" s="55"/>
      <c r="F588" s="55"/>
      <c r="K588" s="55"/>
      <c r="L588" s="55"/>
    </row>
    <row r="589">
      <c r="B589" s="28"/>
      <c r="C589" s="28"/>
      <c r="E589" s="55"/>
      <c r="F589" s="55"/>
      <c r="K589" s="55"/>
      <c r="L589" s="55"/>
    </row>
    <row r="590">
      <c r="B590" s="28"/>
      <c r="C590" s="28"/>
      <c r="E590" s="55"/>
      <c r="F590" s="55"/>
      <c r="K590" s="55"/>
      <c r="L590" s="55"/>
    </row>
    <row r="591">
      <c r="B591" s="28"/>
      <c r="C591" s="28"/>
      <c r="E591" s="55"/>
      <c r="F591" s="55"/>
      <c r="K591" s="55"/>
      <c r="L591" s="55"/>
    </row>
    <row r="592">
      <c r="B592" s="28"/>
      <c r="C592" s="28"/>
      <c r="E592" s="55"/>
      <c r="F592" s="55"/>
      <c r="K592" s="55"/>
      <c r="L592" s="55"/>
    </row>
    <row r="593">
      <c r="B593" s="28"/>
      <c r="C593" s="28"/>
      <c r="E593" s="55"/>
      <c r="F593" s="55"/>
      <c r="K593" s="55"/>
      <c r="L593" s="55"/>
    </row>
    <row r="594">
      <c r="B594" s="28"/>
      <c r="C594" s="28"/>
      <c r="E594" s="55"/>
      <c r="F594" s="55"/>
      <c r="K594" s="55"/>
      <c r="L594" s="55"/>
    </row>
    <row r="595">
      <c r="B595" s="28"/>
      <c r="C595" s="28"/>
      <c r="E595" s="55"/>
      <c r="F595" s="55"/>
      <c r="K595" s="55"/>
      <c r="L595" s="55"/>
    </row>
    <row r="596">
      <c r="B596" s="28"/>
      <c r="C596" s="28"/>
      <c r="E596" s="55"/>
      <c r="F596" s="55"/>
      <c r="K596" s="55"/>
      <c r="L596" s="55"/>
    </row>
    <row r="597">
      <c r="B597" s="28"/>
      <c r="C597" s="28"/>
      <c r="E597" s="55"/>
      <c r="F597" s="55"/>
      <c r="K597" s="55"/>
      <c r="L597" s="55"/>
    </row>
    <row r="598">
      <c r="B598" s="28"/>
      <c r="C598" s="28"/>
      <c r="E598" s="55"/>
      <c r="F598" s="55"/>
      <c r="K598" s="55"/>
      <c r="L598" s="55"/>
    </row>
    <row r="599">
      <c r="B599" s="28"/>
      <c r="C599" s="28"/>
      <c r="E599" s="55"/>
      <c r="F599" s="55"/>
      <c r="K599" s="55"/>
      <c r="L599" s="55"/>
    </row>
    <row r="600">
      <c r="B600" s="28"/>
      <c r="C600" s="28"/>
      <c r="E600" s="55"/>
      <c r="F600" s="55"/>
      <c r="K600" s="55"/>
      <c r="L600" s="55"/>
    </row>
    <row r="601">
      <c r="B601" s="28"/>
      <c r="C601" s="28"/>
      <c r="E601" s="55"/>
      <c r="F601" s="55"/>
      <c r="K601" s="55"/>
      <c r="L601" s="55"/>
    </row>
    <row r="602">
      <c r="B602" s="28"/>
      <c r="C602" s="28"/>
      <c r="E602" s="55"/>
      <c r="F602" s="55"/>
      <c r="K602" s="55"/>
      <c r="L602" s="55"/>
    </row>
    <row r="603">
      <c r="B603" s="28"/>
      <c r="C603" s="28"/>
      <c r="E603" s="55"/>
      <c r="F603" s="55"/>
      <c r="K603" s="55"/>
      <c r="L603" s="55"/>
    </row>
    <row r="604">
      <c r="B604" s="28"/>
      <c r="C604" s="28"/>
      <c r="E604" s="55"/>
      <c r="F604" s="55"/>
      <c r="K604" s="55"/>
      <c r="L604" s="55"/>
    </row>
    <row r="605">
      <c r="B605" s="28"/>
      <c r="C605" s="28"/>
      <c r="E605" s="55"/>
      <c r="F605" s="55"/>
      <c r="K605" s="55"/>
      <c r="L605" s="55"/>
    </row>
    <row r="606">
      <c r="B606" s="28"/>
      <c r="C606" s="28"/>
      <c r="E606" s="55"/>
      <c r="F606" s="55"/>
      <c r="K606" s="55"/>
      <c r="L606" s="55"/>
    </row>
    <row r="607">
      <c r="B607" s="28"/>
      <c r="C607" s="28"/>
      <c r="E607" s="55"/>
      <c r="F607" s="55"/>
      <c r="K607" s="55"/>
      <c r="L607" s="55"/>
    </row>
    <row r="608">
      <c r="B608" s="28"/>
      <c r="C608" s="28"/>
      <c r="E608" s="55"/>
      <c r="F608" s="55"/>
      <c r="K608" s="55"/>
      <c r="L608" s="55"/>
    </row>
    <row r="609">
      <c r="B609" s="28"/>
      <c r="C609" s="28"/>
      <c r="E609" s="55"/>
      <c r="F609" s="55"/>
      <c r="K609" s="55"/>
      <c r="L609" s="55"/>
    </row>
    <row r="610">
      <c r="B610" s="28"/>
      <c r="C610" s="28"/>
      <c r="E610" s="55"/>
      <c r="F610" s="55"/>
      <c r="K610" s="55"/>
      <c r="L610" s="55"/>
    </row>
    <row r="611">
      <c r="B611" s="28"/>
      <c r="C611" s="28"/>
      <c r="E611" s="55"/>
      <c r="F611" s="55"/>
      <c r="K611" s="55"/>
      <c r="L611" s="55"/>
    </row>
    <row r="612">
      <c r="B612" s="28"/>
      <c r="C612" s="28"/>
      <c r="E612" s="55"/>
      <c r="F612" s="55"/>
      <c r="K612" s="55"/>
      <c r="L612" s="55"/>
    </row>
    <row r="613">
      <c r="B613" s="28"/>
      <c r="C613" s="28"/>
      <c r="E613" s="55"/>
      <c r="F613" s="55"/>
      <c r="K613" s="55"/>
      <c r="L613" s="55"/>
    </row>
    <row r="614">
      <c r="B614" s="28"/>
      <c r="C614" s="28"/>
      <c r="E614" s="55"/>
      <c r="F614" s="55"/>
      <c r="K614" s="55"/>
      <c r="L614" s="55"/>
    </row>
    <row r="615">
      <c r="B615" s="28"/>
      <c r="C615" s="28"/>
      <c r="E615" s="55"/>
      <c r="F615" s="55"/>
      <c r="K615" s="55"/>
      <c r="L615" s="55"/>
    </row>
    <row r="616">
      <c r="B616" s="28"/>
      <c r="C616" s="28"/>
      <c r="E616" s="55"/>
      <c r="F616" s="55"/>
      <c r="K616" s="55"/>
      <c r="L616" s="55"/>
    </row>
    <row r="617">
      <c r="B617" s="28"/>
      <c r="C617" s="28"/>
      <c r="E617" s="55"/>
      <c r="F617" s="55"/>
      <c r="K617" s="55"/>
      <c r="L617" s="55"/>
    </row>
    <row r="618">
      <c r="B618" s="28"/>
      <c r="C618" s="28"/>
      <c r="E618" s="55"/>
      <c r="F618" s="55"/>
      <c r="K618" s="55"/>
      <c r="L618" s="55"/>
    </row>
    <row r="619">
      <c r="B619" s="28"/>
      <c r="C619" s="28"/>
      <c r="E619" s="55"/>
      <c r="F619" s="55"/>
      <c r="K619" s="55"/>
      <c r="L619" s="55"/>
    </row>
    <row r="620">
      <c r="B620" s="28"/>
      <c r="C620" s="28"/>
      <c r="E620" s="55"/>
      <c r="F620" s="55"/>
      <c r="K620" s="55"/>
      <c r="L620" s="55"/>
    </row>
    <row r="621">
      <c r="B621" s="28"/>
      <c r="C621" s="28"/>
      <c r="E621" s="55"/>
      <c r="F621" s="55"/>
      <c r="K621" s="55"/>
      <c r="L621" s="55"/>
    </row>
    <row r="622">
      <c r="B622" s="28"/>
      <c r="C622" s="28"/>
      <c r="E622" s="55"/>
      <c r="F622" s="55"/>
      <c r="K622" s="55"/>
      <c r="L622" s="55"/>
    </row>
    <row r="623">
      <c r="B623" s="28"/>
      <c r="C623" s="28"/>
      <c r="E623" s="55"/>
      <c r="F623" s="55"/>
      <c r="K623" s="55"/>
      <c r="L623" s="55"/>
    </row>
    <row r="624">
      <c r="B624" s="28"/>
      <c r="C624" s="28"/>
      <c r="E624" s="55"/>
      <c r="F624" s="55"/>
      <c r="K624" s="55"/>
      <c r="L624" s="55"/>
    </row>
    <row r="625">
      <c r="B625" s="28"/>
      <c r="C625" s="28"/>
      <c r="E625" s="55"/>
      <c r="F625" s="55"/>
      <c r="K625" s="55"/>
      <c r="L625" s="55"/>
    </row>
    <row r="626">
      <c r="B626" s="28"/>
      <c r="C626" s="28"/>
      <c r="E626" s="55"/>
      <c r="F626" s="55"/>
      <c r="K626" s="55"/>
      <c r="L626" s="55"/>
    </row>
    <row r="627">
      <c r="B627" s="28"/>
      <c r="C627" s="28"/>
      <c r="E627" s="55"/>
      <c r="F627" s="55"/>
      <c r="K627" s="55"/>
      <c r="L627" s="55"/>
    </row>
    <row r="628">
      <c r="B628" s="28"/>
      <c r="C628" s="28"/>
      <c r="E628" s="55"/>
      <c r="F628" s="55"/>
      <c r="K628" s="55"/>
      <c r="L628" s="55"/>
    </row>
    <row r="629">
      <c r="B629" s="28"/>
      <c r="C629" s="28"/>
      <c r="E629" s="55"/>
      <c r="F629" s="55"/>
      <c r="K629" s="55"/>
      <c r="L629" s="55"/>
    </row>
    <row r="630">
      <c r="B630" s="28"/>
      <c r="C630" s="28"/>
      <c r="E630" s="55"/>
      <c r="F630" s="55"/>
      <c r="K630" s="55"/>
      <c r="L630" s="55"/>
    </row>
    <row r="631">
      <c r="B631" s="28"/>
      <c r="C631" s="28"/>
      <c r="E631" s="55"/>
      <c r="F631" s="55"/>
      <c r="K631" s="55"/>
      <c r="L631" s="55"/>
    </row>
    <row r="632">
      <c r="B632" s="28"/>
      <c r="C632" s="28"/>
      <c r="E632" s="55"/>
      <c r="F632" s="55"/>
      <c r="K632" s="55"/>
      <c r="L632" s="55"/>
    </row>
    <row r="633">
      <c r="B633" s="28"/>
      <c r="C633" s="28"/>
      <c r="E633" s="55"/>
      <c r="F633" s="55"/>
      <c r="K633" s="55"/>
      <c r="L633" s="55"/>
    </row>
    <row r="634">
      <c r="B634" s="28"/>
      <c r="C634" s="28"/>
      <c r="E634" s="55"/>
      <c r="F634" s="55"/>
      <c r="K634" s="55"/>
      <c r="L634" s="55"/>
    </row>
    <row r="635">
      <c r="B635" s="28"/>
      <c r="C635" s="28"/>
      <c r="E635" s="55"/>
      <c r="F635" s="55"/>
      <c r="K635" s="55"/>
      <c r="L635" s="55"/>
    </row>
    <row r="636">
      <c r="B636" s="28"/>
      <c r="C636" s="28"/>
      <c r="E636" s="55"/>
      <c r="F636" s="55"/>
      <c r="K636" s="55"/>
      <c r="L636" s="55"/>
    </row>
    <row r="637">
      <c r="B637" s="28"/>
      <c r="C637" s="28"/>
      <c r="E637" s="55"/>
      <c r="F637" s="55"/>
      <c r="K637" s="55"/>
      <c r="L637" s="55"/>
    </row>
    <row r="638">
      <c r="B638" s="28"/>
      <c r="C638" s="28"/>
      <c r="E638" s="55"/>
      <c r="F638" s="55"/>
      <c r="K638" s="55"/>
      <c r="L638" s="55"/>
    </row>
    <row r="639">
      <c r="B639" s="28"/>
      <c r="C639" s="28"/>
      <c r="E639" s="55"/>
      <c r="F639" s="55"/>
      <c r="K639" s="55"/>
      <c r="L639" s="55"/>
    </row>
    <row r="640">
      <c r="B640" s="28"/>
      <c r="C640" s="28"/>
      <c r="E640" s="55"/>
      <c r="F640" s="55"/>
      <c r="K640" s="55"/>
      <c r="L640" s="55"/>
    </row>
    <row r="641">
      <c r="B641" s="28"/>
      <c r="C641" s="28"/>
      <c r="E641" s="55"/>
      <c r="F641" s="55"/>
      <c r="K641" s="55"/>
      <c r="L641" s="55"/>
    </row>
    <row r="642">
      <c r="B642" s="28"/>
      <c r="C642" s="28"/>
      <c r="E642" s="55"/>
      <c r="F642" s="55"/>
      <c r="K642" s="55"/>
      <c r="L642" s="55"/>
    </row>
    <row r="643">
      <c r="B643" s="28"/>
      <c r="C643" s="28"/>
      <c r="E643" s="55"/>
      <c r="F643" s="55"/>
      <c r="K643" s="55"/>
      <c r="L643" s="55"/>
    </row>
    <row r="644">
      <c r="B644" s="28"/>
      <c r="C644" s="28"/>
      <c r="E644" s="55"/>
      <c r="F644" s="55"/>
      <c r="K644" s="55"/>
      <c r="L644" s="55"/>
    </row>
    <row r="645">
      <c r="B645" s="28"/>
      <c r="C645" s="28"/>
      <c r="E645" s="55"/>
      <c r="F645" s="55"/>
      <c r="K645" s="55"/>
      <c r="L645" s="55"/>
    </row>
    <row r="646">
      <c r="B646" s="28"/>
      <c r="C646" s="28"/>
      <c r="E646" s="55"/>
      <c r="F646" s="55"/>
      <c r="K646" s="55"/>
      <c r="L646" s="55"/>
    </row>
    <row r="647">
      <c r="B647" s="28"/>
      <c r="C647" s="28"/>
      <c r="E647" s="55"/>
      <c r="F647" s="55"/>
      <c r="K647" s="55"/>
      <c r="L647" s="55"/>
    </row>
    <row r="648">
      <c r="B648" s="28"/>
      <c r="C648" s="28"/>
      <c r="E648" s="55"/>
      <c r="F648" s="55"/>
      <c r="K648" s="55"/>
      <c r="L648" s="55"/>
    </row>
    <row r="649">
      <c r="B649" s="28"/>
      <c r="C649" s="28"/>
      <c r="E649" s="55"/>
      <c r="F649" s="55"/>
      <c r="K649" s="55"/>
      <c r="L649" s="55"/>
    </row>
    <row r="650">
      <c r="B650" s="28"/>
      <c r="C650" s="28"/>
      <c r="E650" s="55"/>
      <c r="F650" s="55"/>
      <c r="K650" s="55"/>
      <c r="L650" s="55"/>
    </row>
    <row r="651">
      <c r="B651" s="28"/>
      <c r="C651" s="28"/>
      <c r="E651" s="55"/>
      <c r="F651" s="55"/>
      <c r="K651" s="55"/>
      <c r="L651" s="55"/>
    </row>
    <row r="652">
      <c r="B652" s="28"/>
      <c r="C652" s="28"/>
      <c r="E652" s="55"/>
      <c r="F652" s="55"/>
      <c r="K652" s="55"/>
      <c r="L652" s="55"/>
    </row>
    <row r="653">
      <c r="B653" s="28"/>
      <c r="C653" s="28"/>
      <c r="E653" s="55"/>
      <c r="F653" s="55"/>
      <c r="K653" s="55"/>
      <c r="L653" s="55"/>
    </row>
    <row r="654">
      <c r="B654" s="28"/>
      <c r="C654" s="28"/>
      <c r="E654" s="55"/>
      <c r="F654" s="55"/>
      <c r="K654" s="55"/>
      <c r="L654" s="55"/>
    </row>
    <row r="655">
      <c r="B655" s="28"/>
      <c r="C655" s="28"/>
      <c r="E655" s="55"/>
      <c r="F655" s="55"/>
      <c r="K655" s="55"/>
      <c r="L655" s="55"/>
    </row>
    <row r="656">
      <c r="B656" s="28"/>
      <c r="C656" s="28"/>
      <c r="E656" s="55"/>
      <c r="F656" s="55"/>
      <c r="K656" s="55"/>
      <c r="L656" s="55"/>
    </row>
    <row r="657">
      <c r="B657" s="28"/>
      <c r="C657" s="28"/>
      <c r="E657" s="55"/>
      <c r="F657" s="55"/>
      <c r="K657" s="55"/>
      <c r="L657" s="55"/>
    </row>
    <row r="658">
      <c r="B658" s="28"/>
      <c r="C658" s="28"/>
      <c r="E658" s="55"/>
      <c r="F658" s="55"/>
      <c r="K658" s="55"/>
      <c r="L658" s="55"/>
    </row>
    <row r="659">
      <c r="B659" s="28"/>
      <c r="C659" s="28"/>
      <c r="E659" s="55"/>
      <c r="F659" s="55"/>
      <c r="K659" s="55"/>
      <c r="L659" s="55"/>
    </row>
    <row r="660">
      <c r="B660" s="28"/>
      <c r="C660" s="28"/>
      <c r="E660" s="55"/>
      <c r="F660" s="55"/>
      <c r="K660" s="55"/>
      <c r="L660" s="55"/>
    </row>
    <row r="661">
      <c r="B661" s="28"/>
      <c r="C661" s="28"/>
      <c r="E661" s="55"/>
      <c r="F661" s="55"/>
      <c r="K661" s="55"/>
      <c r="L661" s="55"/>
    </row>
    <row r="662">
      <c r="B662" s="28"/>
      <c r="C662" s="28"/>
      <c r="E662" s="55"/>
      <c r="F662" s="55"/>
      <c r="K662" s="55"/>
      <c r="L662" s="55"/>
    </row>
    <row r="663">
      <c r="B663" s="28"/>
      <c r="C663" s="28"/>
      <c r="E663" s="55"/>
      <c r="F663" s="55"/>
      <c r="K663" s="55"/>
      <c r="L663" s="55"/>
    </row>
    <row r="664">
      <c r="B664" s="28"/>
      <c r="C664" s="28"/>
      <c r="E664" s="55"/>
      <c r="F664" s="55"/>
      <c r="K664" s="55"/>
      <c r="L664" s="55"/>
    </row>
    <row r="665">
      <c r="B665" s="28"/>
      <c r="C665" s="28"/>
      <c r="E665" s="55"/>
      <c r="F665" s="55"/>
      <c r="K665" s="55"/>
      <c r="L665" s="55"/>
    </row>
    <row r="666">
      <c r="B666" s="28"/>
      <c r="C666" s="28"/>
      <c r="E666" s="55"/>
      <c r="F666" s="55"/>
      <c r="K666" s="55"/>
      <c r="L666" s="55"/>
    </row>
    <row r="667">
      <c r="B667" s="28"/>
      <c r="C667" s="28"/>
      <c r="E667" s="55"/>
      <c r="F667" s="55"/>
      <c r="K667" s="55"/>
      <c r="L667" s="55"/>
    </row>
    <row r="668">
      <c r="B668" s="28"/>
      <c r="C668" s="28"/>
      <c r="E668" s="55"/>
      <c r="F668" s="55"/>
      <c r="K668" s="55"/>
      <c r="L668" s="55"/>
    </row>
    <row r="669">
      <c r="B669" s="28"/>
      <c r="C669" s="28"/>
      <c r="E669" s="55"/>
      <c r="F669" s="55"/>
      <c r="K669" s="55"/>
      <c r="L669" s="55"/>
    </row>
    <row r="670">
      <c r="B670" s="28"/>
      <c r="C670" s="28"/>
      <c r="E670" s="55"/>
      <c r="F670" s="55"/>
      <c r="K670" s="55"/>
      <c r="L670" s="55"/>
    </row>
    <row r="671">
      <c r="B671" s="28"/>
      <c r="C671" s="28"/>
      <c r="E671" s="55"/>
      <c r="F671" s="55"/>
      <c r="K671" s="55"/>
      <c r="L671" s="55"/>
    </row>
    <row r="672">
      <c r="B672" s="28"/>
      <c r="C672" s="28"/>
      <c r="E672" s="55"/>
      <c r="F672" s="55"/>
      <c r="K672" s="55"/>
      <c r="L672" s="55"/>
    </row>
    <row r="673">
      <c r="B673" s="28"/>
      <c r="C673" s="28"/>
      <c r="E673" s="55"/>
      <c r="F673" s="55"/>
      <c r="K673" s="55"/>
      <c r="L673" s="55"/>
    </row>
    <row r="674">
      <c r="B674" s="28"/>
      <c r="C674" s="28"/>
      <c r="E674" s="55"/>
      <c r="F674" s="55"/>
      <c r="K674" s="55"/>
      <c r="L674" s="55"/>
    </row>
    <row r="675">
      <c r="B675" s="28"/>
      <c r="C675" s="28"/>
      <c r="E675" s="55"/>
      <c r="F675" s="55"/>
      <c r="K675" s="55"/>
      <c r="L675" s="55"/>
    </row>
    <row r="676">
      <c r="B676" s="28"/>
      <c r="C676" s="28"/>
      <c r="E676" s="55"/>
      <c r="F676" s="55"/>
      <c r="K676" s="55"/>
      <c r="L676" s="55"/>
    </row>
    <row r="677">
      <c r="B677" s="28"/>
      <c r="C677" s="28"/>
      <c r="E677" s="55"/>
      <c r="F677" s="55"/>
      <c r="K677" s="55"/>
      <c r="L677" s="55"/>
    </row>
    <row r="678">
      <c r="B678" s="28"/>
      <c r="C678" s="28"/>
      <c r="E678" s="55"/>
      <c r="F678" s="55"/>
      <c r="K678" s="55"/>
      <c r="L678" s="55"/>
    </row>
    <row r="679">
      <c r="B679" s="28"/>
      <c r="C679" s="28"/>
      <c r="E679" s="55"/>
      <c r="F679" s="55"/>
      <c r="K679" s="55"/>
      <c r="L679" s="55"/>
    </row>
    <row r="680">
      <c r="B680" s="28"/>
      <c r="C680" s="28"/>
      <c r="E680" s="55"/>
      <c r="F680" s="55"/>
      <c r="K680" s="55"/>
      <c r="L680" s="55"/>
    </row>
    <row r="681">
      <c r="B681" s="28"/>
      <c r="C681" s="28"/>
      <c r="E681" s="55"/>
      <c r="F681" s="55"/>
      <c r="K681" s="55"/>
      <c r="L681" s="55"/>
    </row>
    <row r="682">
      <c r="B682" s="28"/>
      <c r="C682" s="28"/>
      <c r="E682" s="55"/>
      <c r="F682" s="55"/>
      <c r="K682" s="55"/>
      <c r="L682" s="55"/>
    </row>
    <row r="683">
      <c r="B683" s="28"/>
      <c r="C683" s="28"/>
      <c r="E683" s="55"/>
      <c r="F683" s="55"/>
      <c r="K683" s="55"/>
      <c r="L683" s="55"/>
    </row>
    <row r="684">
      <c r="B684" s="28"/>
      <c r="C684" s="28"/>
      <c r="E684" s="55"/>
      <c r="F684" s="55"/>
      <c r="K684" s="55"/>
      <c r="L684" s="55"/>
    </row>
    <row r="685">
      <c r="B685" s="28"/>
      <c r="C685" s="28"/>
      <c r="E685" s="55"/>
      <c r="F685" s="55"/>
      <c r="K685" s="55"/>
      <c r="L685" s="55"/>
    </row>
    <row r="686">
      <c r="B686" s="28"/>
      <c r="C686" s="28"/>
      <c r="E686" s="55"/>
      <c r="F686" s="55"/>
      <c r="K686" s="55"/>
      <c r="L686" s="55"/>
    </row>
    <row r="687">
      <c r="B687" s="28"/>
      <c r="C687" s="28"/>
      <c r="E687" s="55"/>
      <c r="F687" s="55"/>
      <c r="K687" s="55"/>
      <c r="L687" s="55"/>
    </row>
    <row r="688">
      <c r="B688" s="28"/>
      <c r="C688" s="28"/>
      <c r="E688" s="55"/>
      <c r="F688" s="55"/>
      <c r="K688" s="55"/>
      <c r="L688" s="55"/>
    </row>
    <row r="689">
      <c r="B689" s="28"/>
      <c r="C689" s="28"/>
      <c r="E689" s="55"/>
      <c r="F689" s="55"/>
      <c r="K689" s="55"/>
      <c r="L689" s="55"/>
    </row>
    <row r="690">
      <c r="B690" s="28"/>
      <c r="C690" s="28"/>
      <c r="E690" s="55"/>
      <c r="F690" s="55"/>
      <c r="K690" s="55"/>
      <c r="L690" s="55"/>
    </row>
    <row r="691">
      <c r="B691" s="28"/>
      <c r="C691" s="28"/>
      <c r="E691" s="55"/>
      <c r="F691" s="55"/>
      <c r="K691" s="55"/>
      <c r="L691" s="55"/>
    </row>
    <row r="692">
      <c r="B692" s="28"/>
      <c r="C692" s="28"/>
      <c r="E692" s="55"/>
      <c r="F692" s="55"/>
      <c r="K692" s="55"/>
      <c r="L692" s="55"/>
    </row>
    <row r="693">
      <c r="B693" s="28"/>
      <c r="C693" s="28"/>
      <c r="E693" s="55"/>
      <c r="F693" s="55"/>
      <c r="K693" s="55"/>
      <c r="L693" s="55"/>
    </row>
    <row r="694">
      <c r="B694" s="28"/>
      <c r="C694" s="28"/>
      <c r="E694" s="55"/>
      <c r="F694" s="55"/>
      <c r="K694" s="55"/>
      <c r="L694" s="55"/>
    </row>
    <row r="695">
      <c r="B695" s="28"/>
      <c r="C695" s="28"/>
      <c r="E695" s="55"/>
      <c r="F695" s="55"/>
      <c r="K695" s="55"/>
      <c r="L695" s="55"/>
    </row>
    <row r="696">
      <c r="B696" s="28"/>
      <c r="C696" s="28"/>
      <c r="E696" s="55"/>
      <c r="F696" s="55"/>
      <c r="K696" s="55"/>
      <c r="L696" s="55"/>
    </row>
    <row r="697">
      <c r="B697" s="28"/>
      <c r="C697" s="28"/>
      <c r="E697" s="55"/>
      <c r="F697" s="55"/>
      <c r="K697" s="55"/>
      <c r="L697" s="55"/>
    </row>
    <row r="698">
      <c r="B698" s="28"/>
      <c r="C698" s="28"/>
      <c r="E698" s="55"/>
      <c r="F698" s="55"/>
      <c r="K698" s="55"/>
      <c r="L698" s="55"/>
    </row>
    <row r="699">
      <c r="B699" s="28"/>
      <c r="C699" s="28"/>
      <c r="E699" s="55"/>
      <c r="F699" s="55"/>
      <c r="K699" s="55"/>
      <c r="L699" s="55"/>
    </row>
    <row r="700">
      <c r="B700" s="28"/>
      <c r="C700" s="28"/>
      <c r="E700" s="55"/>
      <c r="F700" s="55"/>
      <c r="K700" s="55"/>
      <c r="L700" s="55"/>
    </row>
    <row r="701">
      <c r="B701" s="28"/>
      <c r="C701" s="28"/>
      <c r="E701" s="55"/>
      <c r="F701" s="55"/>
      <c r="K701" s="55"/>
      <c r="L701" s="55"/>
    </row>
    <row r="702">
      <c r="B702" s="28"/>
      <c r="C702" s="28"/>
      <c r="E702" s="55"/>
      <c r="F702" s="55"/>
      <c r="K702" s="55"/>
      <c r="L702" s="55"/>
    </row>
    <row r="703">
      <c r="B703" s="28"/>
      <c r="C703" s="28"/>
      <c r="E703" s="55"/>
      <c r="F703" s="55"/>
      <c r="K703" s="55"/>
      <c r="L703" s="55"/>
    </row>
    <row r="704">
      <c r="B704" s="28"/>
      <c r="C704" s="28"/>
      <c r="E704" s="55"/>
      <c r="F704" s="55"/>
      <c r="K704" s="55"/>
      <c r="L704" s="55"/>
    </row>
    <row r="705">
      <c r="B705" s="28"/>
      <c r="C705" s="28"/>
      <c r="E705" s="55"/>
      <c r="F705" s="55"/>
      <c r="K705" s="55"/>
      <c r="L705" s="55"/>
    </row>
    <row r="706">
      <c r="B706" s="28"/>
      <c r="C706" s="28"/>
      <c r="E706" s="55"/>
      <c r="F706" s="55"/>
      <c r="K706" s="55"/>
      <c r="L706" s="55"/>
    </row>
    <row r="707">
      <c r="B707" s="28"/>
      <c r="C707" s="28"/>
      <c r="E707" s="55"/>
      <c r="F707" s="55"/>
      <c r="K707" s="55"/>
      <c r="L707" s="55"/>
    </row>
    <row r="708">
      <c r="B708" s="28"/>
      <c r="C708" s="28"/>
      <c r="E708" s="55"/>
      <c r="F708" s="55"/>
      <c r="K708" s="55"/>
      <c r="L708" s="55"/>
    </row>
    <row r="709">
      <c r="B709" s="28"/>
      <c r="C709" s="28"/>
      <c r="E709" s="55"/>
      <c r="F709" s="55"/>
      <c r="K709" s="55"/>
      <c r="L709" s="55"/>
    </row>
    <row r="710">
      <c r="B710" s="28"/>
      <c r="C710" s="28"/>
      <c r="E710" s="55"/>
      <c r="F710" s="55"/>
      <c r="K710" s="55"/>
      <c r="L710" s="55"/>
    </row>
    <row r="711">
      <c r="B711" s="28"/>
      <c r="C711" s="28"/>
      <c r="E711" s="55"/>
      <c r="F711" s="55"/>
      <c r="K711" s="55"/>
      <c r="L711" s="55"/>
    </row>
    <row r="712">
      <c r="B712" s="28"/>
      <c r="C712" s="28"/>
      <c r="E712" s="55"/>
      <c r="F712" s="55"/>
      <c r="K712" s="55"/>
      <c r="L712" s="55"/>
    </row>
    <row r="713">
      <c r="B713" s="28"/>
      <c r="C713" s="28"/>
      <c r="E713" s="55"/>
      <c r="F713" s="55"/>
      <c r="K713" s="55"/>
      <c r="L713" s="55"/>
    </row>
    <row r="714">
      <c r="B714" s="28"/>
      <c r="C714" s="28"/>
      <c r="E714" s="55"/>
      <c r="F714" s="55"/>
      <c r="K714" s="55"/>
      <c r="L714" s="55"/>
    </row>
    <row r="715">
      <c r="B715" s="28"/>
      <c r="C715" s="28"/>
      <c r="E715" s="55"/>
      <c r="F715" s="55"/>
      <c r="K715" s="55"/>
      <c r="L715" s="55"/>
    </row>
    <row r="716">
      <c r="B716" s="28"/>
      <c r="C716" s="28"/>
      <c r="E716" s="55"/>
      <c r="F716" s="55"/>
      <c r="K716" s="55"/>
      <c r="L716" s="55"/>
    </row>
    <row r="717">
      <c r="B717" s="28"/>
      <c r="C717" s="28"/>
      <c r="E717" s="55"/>
      <c r="F717" s="55"/>
      <c r="K717" s="55"/>
      <c r="L717" s="55"/>
    </row>
    <row r="718">
      <c r="B718" s="28"/>
      <c r="C718" s="28"/>
      <c r="E718" s="55"/>
      <c r="F718" s="55"/>
      <c r="K718" s="55"/>
      <c r="L718" s="55"/>
    </row>
    <row r="719">
      <c r="B719" s="28"/>
      <c r="C719" s="28"/>
      <c r="E719" s="55"/>
      <c r="F719" s="55"/>
      <c r="K719" s="55"/>
      <c r="L719" s="55"/>
    </row>
    <row r="720">
      <c r="B720" s="28"/>
      <c r="C720" s="28"/>
      <c r="E720" s="55"/>
      <c r="F720" s="55"/>
      <c r="K720" s="55"/>
      <c r="L720" s="55"/>
    </row>
    <row r="721">
      <c r="B721" s="28"/>
      <c r="C721" s="28"/>
      <c r="E721" s="55"/>
      <c r="F721" s="55"/>
      <c r="K721" s="55"/>
      <c r="L721" s="55"/>
    </row>
    <row r="722">
      <c r="B722" s="28"/>
      <c r="C722" s="28"/>
      <c r="E722" s="55"/>
      <c r="F722" s="55"/>
      <c r="K722" s="55"/>
      <c r="L722" s="55"/>
    </row>
    <row r="723">
      <c r="B723" s="28"/>
      <c r="C723" s="28"/>
      <c r="E723" s="55"/>
      <c r="F723" s="55"/>
      <c r="K723" s="55"/>
      <c r="L723" s="55"/>
    </row>
    <row r="724">
      <c r="B724" s="28"/>
      <c r="C724" s="28"/>
      <c r="E724" s="55"/>
      <c r="F724" s="55"/>
      <c r="K724" s="55"/>
      <c r="L724" s="55"/>
    </row>
    <row r="725">
      <c r="B725" s="28"/>
      <c r="C725" s="28"/>
      <c r="E725" s="55"/>
      <c r="F725" s="55"/>
      <c r="K725" s="55"/>
      <c r="L725" s="55"/>
    </row>
    <row r="726">
      <c r="B726" s="28"/>
      <c r="C726" s="28"/>
      <c r="E726" s="55"/>
      <c r="F726" s="55"/>
      <c r="K726" s="55"/>
      <c r="L726" s="55"/>
    </row>
    <row r="727">
      <c r="B727" s="28"/>
      <c r="C727" s="28"/>
      <c r="E727" s="55"/>
      <c r="F727" s="55"/>
      <c r="K727" s="55"/>
      <c r="L727" s="55"/>
    </row>
    <row r="728">
      <c r="B728" s="28"/>
      <c r="C728" s="28"/>
      <c r="E728" s="55"/>
      <c r="F728" s="55"/>
      <c r="K728" s="55"/>
      <c r="L728" s="55"/>
    </row>
    <row r="729">
      <c r="B729" s="28"/>
      <c r="C729" s="28"/>
      <c r="E729" s="55"/>
      <c r="F729" s="55"/>
      <c r="K729" s="55"/>
      <c r="L729" s="55"/>
    </row>
    <row r="730">
      <c r="B730" s="28"/>
      <c r="C730" s="28"/>
      <c r="E730" s="55"/>
      <c r="F730" s="55"/>
      <c r="K730" s="55"/>
      <c r="L730" s="55"/>
    </row>
    <row r="731">
      <c r="B731" s="28"/>
      <c r="C731" s="28"/>
      <c r="E731" s="55"/>
      <c r="F731" s="55"/>
      <c r="K731" s="55"/>
      <c r="L731" s="55"/>
    </row>
    <row r="732">
      <c r="B732" s="28"/>
      <c r="C732" s="28"/>
      <c r="E732" s="55"/>
      <c r="F732" s="55"/>
      <c r="K732" s="55"/>
      <c r="L732" s="55"/>
    </row>
    <row r="733">
      <c r="B733" s="28"/>
      <c r="C733" s="28"/>
      <c r="E733" s="55"/>
      <c r="F733" s="55"/>
      <c r="K733" s="55"/>
      <c r="L733" s="55"/>
    </row>
    <row r="734">
      <c r="B734" s="28"/>
      <c r="C734" s="28"/>
      <c r="E734" s="55"/>
      <c r="F734" s="55"/>
      <c r="K734" s="55"/>
      <c r="L734" s="55"/>
    </row>
    <row r="735">
      <c r="B735" s="28"/>
      <c r="C735" s="28"/>
      <c r="E735" s="55"/>
      <c r="F735" s="55"/>
      <c r="K735" s="55"/>
      <c r="L735" s="55"/>
    </row>
    <row r="736">
      <c r="B736" s="28"/>
      <c r="C736" s="28"/>
      <c r="E736" s="55"/>
      <c r="F736" s="55"/>
      <c r="K736" s="55"/>
      <c r="L736" s="55"/>
    </row>
    <row r="737">
      <c r="B737" s="28"/>
      <c r="C737" s="28"/>
      <c r="E737" s="55"/>
      <c r="F737" s="55"/>
      <c r="K737" s="55"/>
      <c r="L737" s="55"/>
    </row>
    <row r="738">
      <c r="B738" s="28"/>
      <c r="C738" s="28"/>
      <c r="E738" s="55"/>
      <c r="F738" s="55"/>
      <c r="K738" s="55"/>
      <c r="L738" s="55"/>
    </row>
    <row r="739">
      <c r="B739" s="28"/>
      <c r="C739" s="28"/>
      <c r="E739" s="55"/>
      <c r="F739" s="55"/>
      <c r="K739" s="55"/>
      <c r="L739" s="55"/>
    </row>
    <row r="740">
      <c r="B740" s="28"/>
      <c r="C740" s="28"/>
      <c r="E740" s="55"/>
      <c r="F740" s="55"/>
      <c r="K740" s="55"/>
      <c r="L740" s="55"/>
    </row>
    <row r="741">
      <c r="B741" s="28"/>
      <c r="C741" s="28"/>
      <c r="E741" s="55"/>
      <c r="F741" s="55"/>
      <c r="K741" s="55"/>
      <c r="L741" s="55"/>
    </row>
    <row r="742">
      <c r="B742" s="28"/>
      <c r="C742" s="28"/>
      <c r="E742" s="55"/>
      <c r="F742" s="55"/>
      <c r="K742" s="55"/>
      <c r="L742" s="55"/>
    </row>
    <row r="743">
      <c r="B743" s="28"/>
      <c r="C743" s="28"/>
      <c r="E743" s="55"/>
      <c r="F743" s="55"/>
      <c r="K743" s="55"/>
      <c r="L743" s="55"/>
    </row>
    <row r="744">
      <c r="B744" s="28"/>
      <c r="C744" s="28"/>
      <c r="E744" s="55"/>
      <c r="F744" s="55"/>
      <c r="K744" s="55"/>
      <c r="L744" s="55"/>
    </row>
    <row r="745">
      <c r="B745" s="28"/>
      <c r="C745" s="28"/>
      <c r="E745" s="55"/>
      <c r="F745" s="55"/>
      <c r="K745" s="55"/>
      <c r="L745" s="55"/>
    </row>
    <row r="746">
      <c r="B746" s="28"/>
      <c r="C746" s="28"/>
      <c r="E746" s="55"/>
      <c r="F746" s="55"/>
      <c r="K746" s="55"/>
      <c r="L746" s="55"/>
    </row>
    <row r="747">
      <c r="B747" s="28"/>
      <c r="C747" s="28"/>
      <c r="E747" s="55"/>
      <c r="F747" s="55"/>
      <c r="K747" s="55"/>
      <c r="L747" s="55"/>
    </row>
    <row r="748">
      <c r="B748" s="28"/>
      <c r="C748" s="28"/>
      <c r="E748" s="55"/>
      <c r="F748" s="55"/>
      <c r="K748" s="55"/>
      <c r="L748" s="55"/>
    </row>
    <row r="749">
      <c r="B749" s="28"/>
      <c r="C749" s="28"/>
      <c r="E749" s="55"/>
      <c r="F749" s="55"/>
      <c r="K749" s="55"/>
      <c r="L749" s="55"/>
    </row>
    <row r="750">
      <c r="B750" s="28"/>
      <c r="C750" s="28"/>
      <c r="E750" s="55"/>
      <c r="F750" s="55"/>
      <c r="K750" s="55"/>
      <c r="L750" s="55"/>
    </row>
    <row r="751">
      <c r="B751" s="28"/>
      <c r="C751" s="28"/>
      <c r="E751" s="55"/>
      <c r="F751" s="55"/>
      <c r="K751" s="55"/>
      <c r="L751" s="55"/>
    </row>
    <row r="752">
      <c r="B752" s="28"/>
      <c r="C752" s="28"/>
      <c r="E752" s="55"/>
      <c r="F752" s="55"/>
      <c r="K752" s="55"/>
      <c r="L752" s="55"/>
    </row>
    <row r="753">
      <c r="B753" s="28"/>
      <c r="C753" s="28"/>
      <c r="E753" s="55"/>
      <c r="F753" s="55"/>
      <c r="K753" s="55"/>
      <c r="L753" s="55"/>
    </row>
    <row r="754">
      <c r="B754" s="28"/>
      <c r="C754" s="28"/>
      <c r="E754" s="55"/>
      <c r="F754" s="55"/>
      <c r="K754" s="55"/>
      <c r="L754" s="55"/>
    </row>
    <row r="755">
      <c r="B755" s="28"/>
      <c r="C755" s="28"/>
      <c r="E755" s="55"/>
      <c r="F755" s="55"/>
      <c r="K755" s="55"/>
      <c r="L755" s="55"/>
    </row>
    <row r="756">
      <c r="B756" s="28"/>
      <c r="C756" s="28"/>
      <c r="E756" s="55"/>
      <c r="F756" s="55"/>
      <c r="K756" s="55"/>
      <c r="L756" s="55"/>
    </row>
    <row r="757">
      <c r="B757" s="28"/>
      <c r="C757" s="28"/>
      <c r="E757" s="55"/>
      <c r="F757" s="55"/>
      <c r="K757" s="55"/>
      <c r="L757" s="55"/>
    </row>
    <row r="758">
      <c r="B758" s="28"/>
      <c r="C758" s="28"/>
      <c r="E758" s="55"/>
      <c r="F758" s="55"/>
      <c r="K758" s="55"/>
      <c r="L758" s="55"/>
    </row>
    <row r="759">
      <c r="B759" s="28"/>
      <c r="C759" s="28"/>
      <c r="E759" s="55"/>
      <c r="F759" s="55"/>
      <c r="K759" s="55"/>
      <c r="L759" s="55"/>
    </row>
    <row r="760">
      <c r="B760" s="28"/>
      <c r="C760" s="28"/>
      <c r="E760" s="55"/>
      <c r="F760" s="55"/>
      <c r="K760" s="55"/>
      <c r="L760" s="55"/>
    </row>
    <row r="761">
      <c r="B761" s="28"/>
      <c r="C761" s="28"/>
      <c r="E761" s="55"/>
      <c r="F761" s="55"/>
      <c r="K761" s="55"/>
      <c r="L761" s="55"/>
    </row>
    <row r="762">
      <c r="B762" s="28"/>
      <c r="C762" s="28"/>
      <c r="E762" s="55"/>
      <c r="F762" s="55"/>
      <c r="K762" s="55"/>
      <c r="L762" s="55"/>
    </row>
    <row r="763">
      <c r="B763" s="28"/>
      <c r="C763" s="28"/>
      <c r="E763" s="55"/>
      <c r="F763" s="55"/>
      <c r="K763" s="55"/>
      <c r="L763" s="55"/>
    </row>
    <row r="764">
      <c r="B764" s="28"/>
      <c r="C764" s="28"/>
      <c r="E764" s="55"/>
      <c r="F764" s="55"/>
      <c r="K764" s="55"/>
      <c r="L764" s="55"/>
    </row>
    <row r="765">
      <c r="B765" s="28"/>
      <c r="C765" s="28"/>
      <c r="E765" s="55"/>
      <c r="F765" s="55"/>
      <c r="K765" s="55"/>
      <c r="L765" s="55"/>
    </row>
    <row r="766">
      <c r="B766" s="28"/>
      <c r="C766" s="28"/>
      <c r="E766" s="55"/>
      <c r="F766" s="55"/>
      <c r="K766" s="55"/>
      <c r="L766" s="55"/>
    </row>
    <row r="767">
      <c r="B767" s="28"/>
      <c r="C767" s="28"/>
      <c r="E767" s="55"/>
      <c r="F767" s="55"/>
      <c r="K767" s="55"/>
      <c r="L767" s="55"/>
    </row>
    <row r="768">
      <c r="B768" s="28"/>
      <c r="C768" s="28"/>
      <c r="E768" s="55"/>
      <c r="F768" s="55"/>
      <c r="K768" s="55"/>
      <c r="L768" s="55"/>
    </row>
    <row r="769">
      <c r="B769" s="28"/>
      <c r="C769" s="28"/>
      <c r="E769" s="55"/>
      <c r="F769" s="55"/>
      <c r="K769" s="55"/>
      <c r="L769" s="55"/>
    </row>
    <row r="770">
      <c r="B770" s="28"/>
      <c r="C770" s="28"/>
      <c r="E770" s="55"/>
      <c r="F770" s="55"/>
      <c r="K770" s="55"/>
      <c r="L770" s="55"/>
    </row>
    <row r="771">
      <c r="B771" s="28"/>
      <c r="C771" s="28"/>
      <c r="E771" s="55"/>
      <c r="F771" s="55"/>
      <c r="K771" s="55"/>
      <c r="L771" s="55"/>
    </row>
    <row r="772">
      <c r="B772" s="28"/>
      <c r="C772" s="28"/>
      <c r="E772" s="55"/>
      <c r="F772" s="55"/>
      <c r="K772" s="55"/>
      <c r="L772" s="55"/>
    </row>
    <row r="773">
      <c r="B773" s="28"/>
      <c r="C773" s="28"/>
      <c r="E773" s="55"/>
      <c r="F773" s="55"/>
      <c r="K773" s="55"/>
      <c r="L773" s="55"/>
    </row>
    <row r="774">
      <c r="B774" s="28"/>
      <c r="C774" s="28"/>
      <c r="E774" s="55"/>
      <c r="F774" s="55"/>
      <c r="K774" s="55"/>
      <c r="L774" s="55"/>
    </row>
    <row r="775">
      <c r="B775" s="28"/>
      <c r="C775" s="28"/>
      <c r="E775" s="55"/>
      <c r="F775" s="55"/>
      <c r="K775" s="55"/>
      <c r="L775" s="55"/>
    </row>
    <row r="776">
      <c r="B776" s="28"/>
      <c r="C776" s="28"/>
      <c r="E776" s="55"/>
      <c r="F776" s="55"/>
      <c r="K776" s="55"/>
      <c r="L776" s="55"/>
    </row>
    <row r="777">
      <c r="B777" s="28"/>
      <c r="C777" s="28"/>
      <c r="E777" s="55"/>
      <c r="F777" s="55"/>
      <c r="K777" s="55"/>
      <c r="L777" s="55"/>
    </row>
    <row r="778">
      <c r="B778" s="28"/>
      <c r="C778" s="28"/>
      <c r="E778" s="55"/>
      <c r="F778" s="55"/>
      <c r="K778" s="55"/>
      <c r="L778" s="55"/>
    </row>
    <row r="779">
      <c r="B779" s="28"/>
      <c r="C779" s="28"/>
      <c r="E779" s="55"/>
      <c r="F779" s="55"/>
      <c r="K779" s="55"/>
      <c r="L779" s="55"/>
    </row>
    <row r="780">
      <c r="B780" s="28"/>
      <c r="C780" s="28"/>
      <c r="E780" s="55"/>
      <c r="F780" s="55"/>
      <c r="K780" s="55"/>
      <c r="L780" s="55"/>
    </row>
    <row r="781">
      <c r="B781" s="28"/>
      <c r="C781" s="28"/>
      <c r="E781" s="55"/>
      <c r="F781" s="55"/>
      <c r="K781" s="55"/>
      <c r="L781" s="55"/>
    </row>
    <row r="782">
      <c r="B782" s="28"/>
      <c r="C782" s="28"/>
      <c r="E782" s="55"/>
      <c r="F782" s="55"/>
      <c r="K782" s="55"/>
      <c r="L782" s="55"/>
    </row>
    <row r="783">
      <c r="B783" s="28"/>
      <c r="C783" s="28"/>
      <c r="E783" s="55"/>
      <c r="F783" s="55"/>
      <c r="K783" s="55"/>
      <c r="L783" s="55"/>
    </row>
    <row r="784">
      <c r="B784" s="28"/>
      <c r="C784" s="28"/>
      <c r="E784" s="55"/>
      <c r="F784" s="55"/>
      <c r="K784" s="55"/>
      <c r="L784" s="55"/>
    </row>
    <row r="785">
      <c r="B785" s="28"/>
      <c r="C785" s="28"/>
      <c r="E785" s="55"/>
      <c r="F785" s="55"/>
      <c r="K785" s="55"/>
      <c r="L785" s="55"/>
    </row>
    <row r="786">
      <c r="B786" s="28"/>
      <c r="C786" s="28"/>
      <c r="E786" s="55"/>
      <c r="F786" s="55"/>
      <c r="K786" s="55"/>
      <c r="L786" s="55"/>
    </row>
    <row r="787">
      <c r="B787" s="28"/>
      <c r="C787" s="28"/>
      <c r="E787" s="55"/>
      <c r="F787" s="55"/>
      <c r="K787" s="55"/>
      <c r="L787" s="55"/>
    </row>
    <row r="788">
      <c r="B788" s="28"/>
      <c r="C788" s="28"/>
      <c r="E788" s="55"/>
      <c r="F788" s="55"/>
      <c r="K788" s="55"/>
      <c r="L788" s="55"/>
    </row>
    <row r="789">
      <c r="B789" s="28"/>
      <c r="C789" s="28"/>
      <c r="E789" s="55"/>
      <c r="F789" s="55"/>
      <c r="K789" s="55"/>
      <c r="L789" s="55"/>
    </row>
    <row r="790">
      <c r="B790" s="28"/>
      <c r="C790" s="28"/>
      <c r="E790" s="55"/>
      <c r="F790" s="55"/>
      <c r="K790" s="55"/>
      <c r="L790" s="55"/>
    </row>
    <row r="791">
      <c r="B791" s="28"/>
      <c r="C791" s="28"/>
      <c r="E791" s="55"/>
      <c r="F791" s="55"/>
      <c r="K791" s="55"/>
      <c r="L791" s="55"/>
    </row>
    <row r="792">
      <c r="B792" s="28"/>
      <c r="C792" s="28"/>
      <c r="E792" s="55"/>
      <c r="F792" s="55"/>
      <c r="K792" s="55"/>
      <c r="L792" s="55"/>
    </row>
    <row r="793">
      <c r="B793" s="28"/>
      <c r="C793" s="28"/>
      <c r="E793" s="55"/>
      <c r="F793" s="55"/>
      <c r="K793" s="55"/>
      <c r="L793" s="55"/>
    </row>
    <row r="794">
      <c r="B794" s="28"/>
      <c r="C794" s="28"/>
      <c r="E794" s="55"/>
      <c r="F794" s="55"/>
      <c r="K794" s="55"/>
      <c r="L794" s="55"/>
    </row>
    <row r="795">
      <c r="B795" s="28"/>
      <c r="C795" s="28"/>
      <c r="E795" s="55"/>
      <c r="F795" s="55"/>
      <c r="K795" s="55"/>
      <c r="L795" s="55"/>
    </row>
    <row r="796">
      <c r="B796" s="28"/>
      <c r="C796" s="28"/>
      <c r="E796" s="55"/>
      <c r="F796" s="55"/>
      <c r="K796" s="55"/>
      <c r="L796" s="55"/>
    </row>
    <row r="797">
      <c r="B797" s="28"/>
      <c r="C797" s="28"/>
      <c r="E797" s="55"/>
      <c r="F797" s="55"/>
      <c r="K797" s="55"/>
      <c r="L797" s="55"/>
    </row>
    <row r="798">
      <c r="B798" s="28"/>
      <c r="C798" s="28"/>
      <c r="E798" s="55"/>
      <c r="F798" s="55"/>
      <c r="K798" s="55"/>
      <c r="L798" s="55"/>
    </row>
    <row r="799">
      <c r="B799" s="28"/>
      <c r="C799" s="28"/>
      <c r="E799" s="55"/>
      <c r="F799" s="55"/>
      <c r="K799" s="55"/>
      <c r="L799" s="55"/>
    </row>
    <row r="800">
      <c r="B800" s="28"/>
      <c r="C800" s="28"/>
      <c r="E800" s="55"/>
      <c r="F800" s="55"/>
      <c r="K800" s="55"/>
      <c r="L800" s="55"/>
    </row>
    <row r="801">
      <c r="B801" s="28"/>
      <c r="C801" s="28"/>
      <c r="E801" s="55"/>
      <c r="F801" s="55"/>
      <c r="K801" s="55"/>
      <c r="L801" s="55"/>
    </row>
    <row r="802">
      <c r="B802" s="28"/>
      <c r="C802" s="28"/>
      <c r="E802" s="55"/>
      <c r="F802" s="55"/>
      <c r="K802" s="55"/>
      <c r="L802" s="55"/>
    </row>
    <row r="803">
      <c r="B803" s="28"/>
      <c r="C803" s="28"/>
      <c r="E803" s="55"/>
      <c r="F803" s="55"/>
      <c r="K803" s="55"/>
      <c r="L803" s="55"/>
    </row>
    <row r="804">
      <c r="B804" s="28"/>
      <c r="C804" s="28"/>
      <c r="E804" s="55"/>
      <c r="F804" s="55"/>
      <c r="K804" s="55"/>
      <c r="L804" s="55"/>
    </row>
    <row r="805">
      <c r="B805" s="28"/>
      <c r="C805" s="28"/>
      <c r="E805" s="55"/>
      <c r="F805" s="55"/>
      <c r="K805" s="55"/>
      <c r="L805" s="55"/>
    </row>
    <row r="806">
      <c r="B806" s="28"/>
      <c r="C806" s="28"/>
      <c r="E806" s="55"/>
      <c r="F806" s="55"/>
      <c r="K806" s="55"/>
      <c r="L806" s="55"/>
    </row>
    <row r="807">
      <c r="B807" s="28"/>
      <c r="C807" s="28"/>
      <c r="E807" s="55"/>
      <c r="F807" s="55"/>
      <c r="K807" s="55"/>
      <c r="L807" s="55"/>
    </row>
    <row r="808">
      <c r="B808" s="28"/>
      <c r="C808" s="28"/>
      <c r="E808" s="55"/>
      <c r="F808" s="55"/>
      <c r="K808" s="55"/>
      <c r="L808" s="55"/>
    </row>
    <row r="809">
      <c r="B809" s="28"/>
      <c r="C809" s="28"/>
      <c r="E809" s="55"/>
      <c r="F809" s="55"/>
      <c r="K809" s="55"/>
      <c r="L809" s="55"/>
    </row>
    <row r="810">
      <c r="B810" s="28"/>
      <c r="C810" s="28"/>
      <c r="E810" s="55"/>
      <c r="F810" s="55"/>
      <c r="K810" s="55"/>
      <c r="L810" s="55"/>
    </row>
    <row r="811">
      <c r="B811" s="28"/>
      <c r="C811" s="28"/>
      <c r="E811" s="55"/>
      <c r="F811" s="55"/>
      <c r="K811" s="55"/>
      <c r="L811" s="55"/>
    </row>
    <row r="812">
      <c r="B812" s="28"/>
      <c r="C812" s="28"/>
      <c r="E812" s="55"/>
      <c r="F812" s="55"/>
      <c r="K812" s="55"/>
      <c r="L812" s="55"/>
    </row>
    <row r="813">
      <c r="B813" s="28"/>
      <c r="C813" s="28"/>
      <c r="E813" s="55"/>
      <c r="F813" s="55"/>
      <c r="K813" s="55"/>
      <c r="L813" s="55"/>
    </row>
    <row r="814">
      <c r="B814" s="28"/>
      <c r="C814" s="28"/>
      <c r="E814" s="55"/>
      <c r="F814" s="55"/>
      <c r="K814" s="55"/>
      <c r="L814" s="55"/>
    </row>
    <row r="815">
      <c r="B815" s="28"/>
      <c r="C815" s="28"/>
      <c r="E815" s="55"/>
      <c r="F815" s="55"/>
      <c r="K815" s="55"/>
      <c r="L815" s="55"/>
    </row>
    <row r="816">
      <c r="B816" s="28"/>
      <c r="C816" s="28"/>
      <c r="E816" s="55"/>
      <c r="F816" s="55"/>
      <c r="K816" s="55"/>
      <c r="L816" s="55"/>
    </row>
    <row r="817">
      <c r="B817" s="28"/>
      <c r="C817" s="28"/>
      <c r="E817" s="55"/>
      <c r="F817" s="55"/>
      <c r="K817" s="55"/>
      <c r="L817" s="55"/>
    </row>
    <row r="818">
      <c r="B818" s="28"/>
      <c r="C818" s="28"/>
      <c r="E818" s="55"/>
      <c r="F818" s="55"/>
      <c r="K818" s="55"/>
      <c r="L818" s="55"/>
    </row>
    <row r="819">
      <c r="B819" s="28"/>
      <c r="C819" s="28"/>
      <c r="E819" s="55"/>
      <c r="F819" s="55"/>
      <c r="K819" s="55"/>
      <c r="L819" s="55"/>
    </row>
    <row r="820">
      <c r="B820" s="28"/>
      <c r="C820" s="28"/>
      <c r="E820" s="55"/>
      <c r="F820" s="55"/>
      <c r="K820" s="55"/>
      <c r="L820" s="55"/>
    </row>
    <row r="821">
      <c r="B821" s="28"/>
      <c r="C821" s="28"/>
      <c r="E821" s="55"/>
      <c r="F821" s="55"/>
      <c r="K821" s="55"/>
      <c r="L821" s="55"/>
    </row>
    <row r="822">
      <c r="B822" s="28"/>
      <c r="C822" s="28"/>
      <c r="E822" s="55"/>
      <c r="F822" s="55"/>
      <c r="K822" s="55"/>
      <c r="L822" s="55"/>
    </row>
    <row r="823">
      <c r="B823" s="28"/>
      <c r="C823" s="28"/>
      <c r="E823" s="55"/>
      <c r="F823" s="55"/>
      <c r="K823" s="55"/>
      <c r="L823" s="55"/>
    </row>
    <row r="824">
      <c r="B824" s="28"/>
      <c r="C824" s="28"/>
      <c r="E824" s="55"/>
      <c r="F824" s="55"/>
      <c r="K824" s="55"/>
      <c r="L824" s="55"/>
    </row>
    <row r="825">
      <c r="B825" s="28"/>
      <c r="C825" s="28"/>
      <c r="E825" s="55"/>
      <c r="F825" s="55"/>
      <c r="K825" s="55"/>
      <c r="L825" s="55"/>
    </row>
    <row r="826">
      <c r="B826" s="28"/>
      <c r="C826" s="28"/>
      <c r="E826" s="55"/>
      <c r="F826" s="55"/>
      <c r="K826" s="55"/>
      <c r="L826" s="55"/>
    </row>
    <row r="827">
      <c r="B827" s="28"/>
      <c r="C827" s="28"/>
      <c r="E827" s="55"/>
      <c r="F827" s="55"/>
      <c r="K827" s="55"/>
      <c r="L827" s="55"/>
    </row>
    <row r="828">
      <c r="B828" s="28"/>
      <c r="C828" s="28"/>
      <c r="E828" s="55"/>
      <c r="F828" s="55"/>
      <c r="K828" s="55"/>
      <c r="L828" s="55"/>
    </row>
    <row r="829">
      <c r="B829" s="28"/>
      <c r="C829" s="28"/>
      <c r="E829" s="55"/>
      <c r="F829" s="55"/>
      <c r="K829" s="55"/>
      <c r="L829" s="55"/>
    </row>
    <row r="830">
      <c r="B830" s="28"/>
      <c r="C830" s="28"/>
      <c r="E830" s="55"/>
      <c r="F830" s="55"/>
      <c r="K830" s="55"/>
      <c r="L830" s="55"/>
    </row>
    <row r="831">
      <c r="B831" s="28"/>
      <c r="C831" s="28"/>
      <c r="E831" s="55"/>
      <c r="F831" s="55"/>
      <c r="K831" s="55"/>
      <c r="L831" s="55"/>
    </row>
    <row r="832">
      <c r="B832" s="28"/>
      <c r="C832" s="28"/>
      <c r="E832" s="55"/>
      <c r="F832" s="55"/>
      <c r="K832" s="55"/>
      <c r="L832" s="55"/>
    </row>
    <row r="833">
      <c r="B833" s="28"/>
      <c r="C833" s="28"/>
      <c r="E833" s="55"/>
      <c r="F833" s="55"/>
      <c r="K833" s="55"/>
      <c r="L833" s="55"/>
    </row>
    <row r="834">
      <c r="B834" s="28"/>
      <c r="C834" s="28"/>
      <c r="E834" s="55"/>
      <c r="F834" s="55"/>
      <c r="K834" s="55"/>
      <c r="L834" s="55"/>
    </row>
    <row r="835">
      <c r="B835" s="28"/>
      <c r="C835" s="28"/>
      <c r="E835" s="55"/>
      <c r="F835" s="55"/>
      <c r="K835" s="55"/>
      <c r="L835" s="55"/>
    </row>
    <row r="836">
      <c r="B836" s="28"/>
      <c r="C836" s="28"/>
      <c r="E836" s="55"/>
      <c r="F836" s="55"/>
      <c r="K836" s="55"/>
      <c r="L836" s="55"/>
    </row>
    <row r="837">
      <c r="B837" s="28"/>
      <c r="C837" s="28"/>
      <c r="E837" s="55"/>
      <c r="F837" s="55"/>
      <c r="K837" s="55"/>
      <c r="L837" s="55"/>
    </row>
    <row r="838">
      <c r="B838" s="28"/>
      <c r="C838" s="28"/>
      <c r="E838" s="55"/>
      <c r="F838" s="55"/>
      <c r="K838" s="55"/>
      <c r="L838" s="55"/>
    </row>
    <row r="839">
      <c r="B839" s="28"/>
      <c r="C839" s="28"/>
      <c r="E839" s="55"/>
      <c r="F839" s="55"/>
      <c r="K839" s="55"/>
      <c r="L839" s="55"/>
    </row>
    <row r="840">
      <c r="B840" s="28"/>
      <c r="C840" s="28"/>
      <c r="E840" s="55"/>
      <c r="F840" s="55"/>
      <c r="K840" s="55"/>
      <c r="L840" s="55"/>
    </row>
    <row r="841">
      <c r="B841" s="28"/>
      <c r="C841" s="28"/>
      <c r="E841" s="55"/>
      <c r="F841" s="55"/>
      <c r="K841" s="55"/>
      <c r="L841" s="55"/>
    </row>
    <row r="842">
      <c r="B842" s="28"/>
      <c r="C842" s="28"/>
      <c r="E842" s="55"/>
      <c r="F842" s="55"/>
      <c r="K842" s="55"/>
      <c r="L842" s="55"/>
    </row>
    <row r="843">
      <c r="B843" s="28"/>
      <c r="C843" s="28"/>
      <c r="E843" s="55"/>
      <c r="F843" s="55"/>
      <c r="K843" s="55"/>
      <c r="L843" s="55"/>
    </row>
    <row r="844">
      <c r="B844" s="28"/>
      <c r="C844" s="28"/>
      <c r="E844" s="55"/>
      <c r="F844" s="55"/>
      <c r="K844" s="55"/>
      <c r="L844" s="55"/>
    </row>
    <row r="845">
      <c r="B845" s="28"/>
      <c r="C845" s="28"/>
      <c r="E845" s="55"/>
      <c r="F845" s="55"/>
      <c r="K845" s="55"/>
      <c r="L845" s="55"/>
    </row>
    <row r="846">
      <c r="B846" s="28"/>
      <c r="C846" s="28"/>
      <c r="E846" s="55"/>
      <c r="F846" s="55"/>
      <c r="K846" s="55"/>
      <c r="L846" s="55"/>
    </row>
    <row r="847">
      <c r="B847" s="28"/>
      <c r="C847" s="28"/>
      <c r="E847" s="55"/>
      <c r="F847" s="55"/>
      <c r="K847" s="55"/>
      <c r="L847" s="55"/>
    </row>
    <row r="848">
      <c r="B848" s="28"/>
      <c r="C848" s="28"/>
      <c r="E848" s="55"/>
      <c r="F848" s="55"/>
      <c r="K848" s="55"/>
      <c r="L848" s="55"/>
    </row>
    <row r="849">
      <c r="B849" s="28"/>
      <c r="C849" s="28"/>
      <c r="E849" s="55"/>
      <c r="F849" s="55"/>
      <c r="K849" s="55"/>
      <c r="L849" s="55"/>
    </row>
    <row r="850">
      <c r="B850" s="28"/>
      <c r="C850" s="28"/>
      <c r="E850" s="55"/>
      <c r="F850" s="55"/>
      <c r="K850" s="55"/>
      <c r="L850" s="55"/>
    </row>
    <row r="851">
      <c r="B851" s="28"/>
      <c r="C851" s="28"/>
      <c r="E851" s="55"/>
      <c r="F851" s="55"/>
      <c r="K851" s="55"/>
      <c r="L851" s="55"/>
    </row>
    <row r="852">
      <c r="B852" s="28"/>
      <c r="C852" s="28"/>
      <c r="E852" s="55"/>
      <c r="F852" s="55"/>
      <c r="K852" s="55"/>
      <c r="L852" s="55"/>
    </row>
    <row r="853">
      <c r="B853" s="28"/>
      <c r="C853" s="28"/>
      <c r="E853" s="55"/>
      <c r="F853" s="55"/>
      <c r="K853" s="55"/>
      <c r="L853" s="55"/>
    </row>
    <row r="854">
      <c r="B854" s="28"/>
      <c r="C854" s="28"/>
      <c r="E854" s="55"/>
      <c r="F854" s="55"/>
      <c r="K854" s="55"/>
      <c r="L854" s="55"/>
    </row>
    <row r="855">
      <c r="B855" s="28"/>
      <c r="C855" s="28"/>
      <c r="E855" s="55"/>
      <c r="F855" s="55"/>
      <c r="K855" s="55"/>
      <c r="L855" s="55"/>
    </row>
    <row r="856">
      <c r="B856" s="28"/>
      <c r="C856" s="28"/>
      <c r="E856" s="55"/>
      <c r="F856" s="55"/>
      <c r="K856" s="55"/>
      <c r="L856" s="55"/>
    </row>
    <row r="857">
      <c r="B857" s="28"/>
      <c r="C857" s="28"/>
      <c r="E857" s="55"/>
      <c r="F857" s="55"/>
      <c r="K857" s="55"/>
      <c r="L857" s="55"/>
    </row>
    <row r="858">
      <c r="B858" s="28"/>
      <c r="C858" s="28"/>
      <c r="E858" s="55"/>
      <c r="F858" s="55"/>
      <c r="K858" s="55"/>
      <c r="L858" s="55"/>
    </row>
    <row r="859">
      <c r="B859" s="28"/>
      <c r="C859" s="28"/>
      <c r="E859" s="55"/>
      <c r="F859" s="55"/>
      <c r="K859" s="55"/>
      <c r="L859" s="55"/>
    </row>
    <row r="860">
      <c r="B860" s="28"/>
      <c r="C860" s="28"/>
      <c r="E860" s="55"/>
      <c r="F860" s="55"/>
      <c r="K860" s="55"/>
      <c r="L860" s="55"/>
    </row>
    <row r="861">
      <c r="B861" s="28"/>
      <c r="C861" s="28"/>
      <c r="E861" s="55"/>
      <c r="F861" s="55"/>
      <c r="K861" s="55"/>
      <c r="L861" s="55"/>
    </row>
    <row r="862">
      <c r="B862" s="28"/>
      <c r="C862" s="28"/>
      <c r="E862" s="55"/>
      <c r="F862" s="55"/>
      <c r="K862" s="55"/>
      <c r="L862" s="55"/>
    </row>
    <row r="863">
      <c r="B863" s="28"/>
      <c r="C863" s="28"/>
      <c r="E863" s="55"/>
      <c r="F863" s="55"/>
      <c r="K863" s="55"/>
      <c r="L863" s="55"/>
    </row>
    <row r="864">
      <c r="B864" s="28"/>
      <c r="C864" s="28"/>
      <c r="E864" s="55"/>
      <c r="F864" s="55"/>
      <c r="K864" s="55"/>
      <c r="L864" s="55"/>
    </row>
    <row r="865">
      <c r="B865" s="28"/>
      <c r="C865" s="28"/>
      <c r="E865" s="55"/>
      <c r="F865" s="55"/>
      <c r="K865" s="55"/>
      <c r="L865" s="55"/>
    </row>
    <row r="866">
      <c r="B866" s="28"/>
      <c r="C866" s="28"/>
      <c r="E866" s="55"/>
      <c r="F866" s="55"/>
      <c r="K866" s="55"/>
      <c r="L866" s="55"/>
    </row>
    <row r="867">
      <c r="B867" s="28"/>
      <c r="C867" s="28"/>
      <c r="E867" s="55"/>
      <c r="F867" s="55"/>
      <c r="K867" s="55"/>
      <c r="L867" s="55"/>
    </row>
    <row r="868">
      <c r="B868" s="28"/>
      <c r="C868" s="28"/>
      <c r="E868" s="55"/>
      <c r="F868" s="55"/>
      <c r="K868" s="55"/>
      <c r="L868" s="55"/>
    </row>
    <row r="869">
      <c r="B869" s="28"/>
      <c r="C869" s="28"/>
      <c r="E869" s="55"/>
      <c r="F869" s="55"/>
      <c r="K869" s="55"/>
      <c r="L869" s="55"/>
    </row>
    <row r="870">
      <c r="B870" s="28"/>
      <c r="C870" s="28"/>
      <c r="E870" s="55"/>
      <c r="F870" s="55"/>
      <c r="K870" s="55"/>
      <c r="L870" s="55"/>
    </row>
    <row r="871">
      <c r="B871" s="28"/>
      <c r="C871" s="28"/>
      <c r="E871" s="55"/>
      <c r="F871" s="55"/>
      <c r="K871" s="55"/>
      <c r="L871" s="55"/>
    </row>
    <row r="872">
      <c r="B872" s="28"/>
      <c r="C872" s="28"/>
      <c r="E872" s="55"/>
      <c r="F872" s="55"/>
      <c r="K872" s="55"/>
      <c r="L872" s="55"/>
    </row>
    <row r="873">
      <c r="B873" s="28"/>
      <c r="C873" s="28"/>
      <c r="E873" s="55"/>
      <c r="F873" s="55"/>
      <c r="K873" s="55"/>
      <c r="L873" s="55"/>
    </row>
    <row r="874">
      <c r="B874" s="28"/>
      <c r="C874" s="28"/>
      <c r="E874" s="55"/>
      <c r="F874" s="55"/>
      <c r="K874" s="55"/>
      <c r="L874" s="55"/>
    </row>
    <row r="875">
      <c r="B875" s="28"/>
      <c r="C875" s="28"/>
      <c r="E875" s="55"/>
      <c r="F875" s="55"/>
      <c r="K875" s="55"/>
      <c r="L875" s="55"/>
    </row>
    <row r="876">
      <c r="B876" s="28"/>
      <c r="C876" s="28"/>
      <c r="E876" s="55"/>
      <c r="F876" s="55"/>
      <c r="K876" s="55"/>
      <c r="L876" s="55"/>
    </row>
    <row r="877">
      <c r="B877" s="28"/>
      <c r="C877" s="28"/>
      <c r="E877" s="55"/>
      <c r="F877" s="55"/>
      <c r="K877" s="55"/>
      <c r="L877" s="55"/>
    </row>
    <row r="878">
      <c r="B878" s="28"/>
      <c r="C878" s="28"/>
      <c r="E878" s="55"/>
      <c r="F878" s="55"/>
      <c r="K878" s="55"/>
      <c r="L878" s="55"/>
    </row>
    <row r="879">
      <c r="B879" s="28"/>
      <c r="C879" s="28"/>
      <c r="E879" s="55"/>
      <c r="F879" s="55"/>
      <c r="K879" s="55"/>
      <c r="L879" s="55"/>
    </row>
    <row r="880">
      <c r="B880" s="28"/>
      <c r="C880" s="28"/>
      <c r="E880" s="55"/>
      <c r="F880" s="55"/>
      <c r="K880" s="55"/>
      <c r="L880" s="55"/>
    </row>
    <row r="881">
      <c r="B881" s="28"/>
      <c r="C881" s="28"/>
      <c r="E881" s="55"/>
      <c r="F881" s="55"/>
      <c r="K881" s="55"/>
      <c r="L881" s="55"/>
    </row>
    <row r="882">
      <c r="B882" s="28"/>
      <c r="C882" s="28"/>
      <c r="E882" s="55"/>
      <c r="F882" s="55"/>
      <c r="K882" s="55"/>
      <c r="L882" s="55"/>
    </row>
    <row r="883">
      <c r="B883" s="28"/>
      <c r="C883" s="28"/>
      <c r="E883" s="55"/>
      <c r="F883" s="55"/>
      <c r="K883" s="55"/>
      <c r="L883" s="55"/>
    </row>
    <row r="884">
      <c r="B884" s="28"/>
      <c r="C884" s="28"/>
      <c r="E884" s="55"/>
      <c r="F884" s="55"/>
      <c r="K884" s="55"/>
      <c r="L884" s="55"/>
    </row>
    <row r="885">
      <c r="B885" s="28"/>
      <c r="C885" s="28"/>
      <c r="E885" s="55"/>
      <c r="F885" s="55"/>
      <c r="K885" s="55"/>
      <c r="L885" s="55"/>
    </row>
    <row r="886">
      <c r="B886" s="28"/>
      <c r="C886" s="28"/>
      <c r="E886" s="55"/>
      <c r="F886" s="55"/>
      <c r="K886" s="55"/>
      <c r="L886" s="55"/>
    </row>
    <row r="887">
      <c r="B887" s="28"/>
      <c r="C887" s="28"/>
      <c r="E887" s="55"/>
      <c r="F887" s="55"/>
      <c r="K887" s="55"/>
      <c r="L887" s="55"/>
    </row>
    <row r="888">
      <c r="B888" s="28"/>
      <c r="C888" s="28"/>
      <c r="E888" s="55"/>
      <c r="F888" s="55"/>
      <c r="K888" s="55"/>
      <c r="L888" s="55"/>
    </row>
    <row r="889">
      <c r="B889" s="28"/>
      <c r="C889" s="28"/>
      <c r="E889" s="55"/>
      <c r="F889" s="55"/>
      <c r="K889" s="55"/>
      <c r="L889" s="55"/>
    </row>
    <row r="890">
      <c r="B890" s="28"/>
      <c r="C890" s="28"/>
      <c r="E890" s="55"/>
      <c r="F890" s="55"/>
      <c r="K890" s="55"/>
      <c r="L890" s="55"/>
    </row>
    <row r="891">
      <c r="B891" s="28"/>
      <c r="C891" s="28"/>
      <c r="E891" s="55"/>
      <c r="F891" s="55"/>
      <c r="K891" s="55"/>
      <c r="L891" s="55"/>
    </row>
    <row r="892">
      <c r="B892" s="28"/>
      <c r="C892" s="28"/>
      <c r="E892" s="55"/>
      <c r="F892" s="55"/>
      <c r="K892" s="55"/>
      <c r="L892" s="55"/>
    </row>
    <row r="893">
      <c r="B893" s="28"/>
      <c r="C893" s="28"/>
      <c r="E893" s="55"/>
      <c r="F893" s="55"/>
      <c r="K893" s="55"/>
      <c r="L893" s="55"/>
    </row>
    <row r="894">
      <c r="B894" s="28"/>
      <c r="C894" s="28"/>
      <c r="E894" s="55"/>
      <c r="F894" s="55"/>
      <c r="K894" s="55"/>
      <c r="L894" s="55"/>
    </row>
    <row r="895">
      <c r="B895" s="28"/>
      <c r="C895" s="28"/>
      <c r="E895" s="55"/>
      <c r="F895" s="55"/>
      <c r="K895" s="55"/>
      <c r="L895" s="55"/>
    </row>
    <row r="896">
      <c r="B896" s="28"/>
      <c r="C896" s="28"/>
      <c r="E896" s="55"/>
      <c r="F896" s="55"/>
      <c r="K896" s="55"/>
      <c r="L896" s="55"/>
    </row>
    <row r="897">
      <c r="B897" s="28"/>
      <c r="C897" s="28"/>
      <c r="E897" s="55"/>
      <c r="F897" s="55"/>
      <c r="K897" s="55"/>
      <c r="L897" s="55"/>
    </row>
    <row r="898">
      <c r="B898" s="28"/>
      <c r="C898" s="28"/>
      <c r="E898" s="55"/>
      <c r="F898" s="55"/>
      <c r="K898" s="55"/>
      <c r="L898" s="55"/>
    </row>
    <row r="899">
      <c r="B899" s="28"/>
      <c r="C899" s="28"/>
      <c r="E899" s="55"/>
      <c r="F899" s="55"/>
      <c r="K899" s="55"/>
      <c r="L899" s="55"/>
    </row>
    <row r="900">
      <c r="B900" s="28"/>
      <c r="C900" s="28"/>
      <c r="E900" s="55"/>
      <c r="F900" s="55"/>
      <c r="K900" s="55"/>
      <c r="L900" s="55"/>
    </row>
    <row r="901">
      <c r="B901" s="28"/>
      <c r="C901" s="28"/>
      <c r="E901" s="55"/>
      <c r="F901" s="55"/>
      <c r="K901" s="55"/>
      <c r="L901" s="55"/>
    </row>
    <row r="902">
      <c r="B902" s="28"/>
      <c r="C902" s="28"/>
      <c r="E902" s="55"/>
      <c r="F902" s="55"/>
      <c r="K902" s="55"/>
      <c r="L902" s="55"/>
    </row>
    <row r="903">
      <c r="B903" s="28"/>
      <c r="C903" s="28"/>
      <c r="E903" s="55"/>
      <c r="F903" s="55"/>
      <c r="K903" s="55"/>
      <c r="L903" s="55"/>
    </row>
    <row r="904">
      <c r="B904" s="28"/>
      <c r="C904" s="28"/>
      <c r="E904" s="55"/>
      <c r="F904" s="55"/>
      <c r="K904" s="55"/>
      <c r="L904" s="55"/>
    </row>
    <row r="905">
      <c r="B905" s="28"/>
      <c r="C905" s="28"/>
      <c r="E905" s="55"/>
      <c r="F905" s="55"/>
      <c r="K905" s="55"/>
      <c r="L905" s="55"/>
    </row>
    <row r="906">
      <c r="B906" s="28"/>
      <c r="C906" s="28"/>
      <c r="E906" s="55"/>
      <c r="F906" s="55"/>
      <c r="K906" s="55"/>
      <c r="L906" s="55"/>
    </row>
    <row r="907">
      <c r="B907" s="28"/>
      <c r="C907" s="28"/>
      <c r="E907" s="55"/>
      <c r="F907" s="55"/>
      <c r="K907" s="55"/>
      <c r="L907" s="55"/>
    </row>
    <row r="908">
      <c r="B908" s="28"/>
      <c r="C908" s="28"/>
      <c r="E908" s="55"/>
      <c r="F908" s="55"/>
      <c r="K908" s="55"/>
      <c r="L908" s="55"/>
    </row>
    <row r="909">
      <c r="B909" s="28"/>
      <c r="C909" s="28"/>
      <c r="E909" s="55"/>
      <c r="F909" s="55"/>
      <c r="K909" s="55"/>
      <c r="L909" s="55"/>
    </row>
    <row r="910">
      <c r="B910" s="28"/>
      <c r="C910" s="28"/>
      <c r="E910" s="55"/>
      <c r="F910" s="55"/>
      <c r="K910" s="55"/>
      <c r="L910" s="55"/>
    </row>
    <row r="911">
      <c r="B911" s="28"/>
      <c r="C911" s="28"/>
      <c r="E911" s="55"/>
      <c r="F911" s="55"/>
      <c r="K911" s="55"/>
      <c r="L911" s="55"/>
    </row>
    <row r="912">
      <c r="B912" s="28"/>
      <c r="C912" s="28"/>
      <c r="E912" s="55"/>
      <c r="F912" s="55"/>
      <c r="K912" s="55"/>
      <c r="L912" s="55"/>
    </row>
    <row r="913">
      <c r="B913" s="28"/>
      <c r="C913" s="28"/>
      <c r="E913" s="55"/>
      <c r="F913" s="55"/>
      <c r="K913" s="55"/>
      <c r="L913" s="55"/>
    </row>
    <row r="914">
      <c r="B914" s="28"/>
      <c r="C914" s="28"/>
      <c r="E914" s="55"/>
      <c r="F914" s="55"/>
      <c r="K914" s="55"/>
      <c r="L914" s="55"/>
    </row>
    <row r="915">
      <c r="B915" s="28"/>
      <c r="C915" s="28"/>
      <c r="E915" s="55"/>
      <c r="F915" s="55"/>
      <c r="K915" s="55"/>
      <c r="L915" s="55"/>
    </row>
    <row r="916">
      <c r="B916" s="28"/>
      <c r="C916" s="28"/>
      <c r="E916" s="55"/>
      <c r="F916" s="55"/>
      <c r="K916" s="55"/>
      <c r="L916" s="55"/>
    </row>
    <row r="917">
      <c r="B917" s="28"/>
      <c r="C917" s="28"/>
      <c r="E917" s="55"/>
      <c r="F917" s="55"/>
      <c r="K917" s="55"/>
      <c r="L917" s="55"/>
    </row>
    <row r="918">
      <c r="B918" s="28"/>
      <c r="C918" s="28"/>
      <c r="E918" s="55"/>
      <c r="F918" s="55"/>
      <c r="K918" s="55"/>
      <c r="L918" s="55"/>
    </row>
    <row r="919">
      <c r="B919" s="28"/>
      <c r="C919" s="28"/>
      <c r="E919" s="55"/>
      <c r="F919" s="55"/>
      <c r="K919" s="55"/>
      <c r="L919" s="55"/>
    </row>
    <row r="920">
      <c r="B920" s="28"/>
      <c r="C920" s="28"/>
      <c r="E920" s="55"/>
      <c r="F920" s="55"/>
      <c r="K920" s="55"/>
      <c r="L920" s="55"/>
    </row>
    <row r="921">
      <c r="B921" s="28"/>
      <c r="C921" s="28"/>
      <c r="E921" s="55"/>
      <c r="F921" s="55"/>
      <c r="K921" s="55"/>
      <c r="L921" s="55"/>
    </row>
    <row r="922">
      <c r="B922" s="28"/>
      <c r="C922" s="28"/>
      <c r="E922" s="55"/>
      <c r="F922" s="55"/>
      <c r="K922" s="55"/>
      <c r="L922" s="55"/>
    </row>
    <row r="923">
      <c r="B923" s="28"/>
      <c r="C923" s="28"/>
      <c r="E923" s="55"/>
      <c r="F923" s="55"/>
      <c r="K923" s="55"/>
      <c r="L923" s="55"/>
    </row>
    <row r="924">
      <c r="B924" s="28"/>
      <c r="C924" s="28"/>
      <c r="E924" s="55"/>
      <c r="F924" s="55"/>
      <c r="K924" s="55"/>
      <c r="L924" s="55"/>
    </row>
    <row r="925">
      <c r="B925" s="28"/>
      <c r="C925" s="28"/>
      <c r="E925" s="55"/>
      <c r="F925" s="55"/>
      <c r="K925" s="55"/>
      <c r="L925" s="55"/>
    </row>
    <row r="926">
      <c r="B926" s="28"/>
      <c r="C926" s="28"/>
      <c r="E926" s="55"/>
      <c r="F926" s="55"/>
      <c r="K926" s="55"/>
      <c r="L926" s="55"/>
    </row>
    <row r="927">
      <c r="B927" s="28"/>
      <c r="C927" s="28"/>
      <c r="E927" s="55"/>
      <c r="F927" s="55"/>
      <c r="K927" s="55"/>
      <c r="L927" s="55"/>
    </row>
    <row r="928">
      <c r="B928" s="28"/>
      <c r="C928" s="28"/>
      <c r="E928" s="55"/>
      <c r="F928" s="55"/>
      <c r="K928" s="55"/>
      <c r="L928" s="55"/>
    </row>
    <row r="929">
      <c r="B929" s="28"/>
      <c r="C929" s="28"/>
      <c r="E929" s="55"/>
      <c r="F929" s="55"/>
      <c r="K929" s="55"/>
      <c r="L929" s="55"/>
    </row>
    <row r="930">
      <c r="B930" s="28"/>
      <c r="C930" s="28"/>
      <c r="E930" s="55"/>
      <c r="F930" s="55"/>
      <c r="K930" s="55"/>
      <c r="L930" s="55"/>
    </row>
    <row r="931">
      <c r="B931" s="28"/>
      <c r="C931" s="28"/>
      <c r="E931" s="55"/>
      <c r="F931" s="55"/>
      <c r="K931" s="55"/>
      <c r="L931" s="55"/>
    </row>
    <row r="932">
      <c r="B932" s="28"/>
      <c r="C932" s="28"/>
      <c r="E932" s="55"/>
      <c r="F932" s="55"/>
      <c r="K932" s="55"/>
      <c r="L932" s="55"/>
    </row>
    <row r="933">
      <c r="B933" s="28"/>
      <c r="C933" s="28"/>
      <c r="E933" s="55"/>
      <c r="F933" s="55"/>
      <c r="K933" s="55"/>
      <c r="L933" s="55"/>
    </row>
    <row r="934">
      <c r="B934" s="28"/>
      <c r="C934" s="28"/>
      <c r="E934" s="55"/>
      <c r="F934" s="55"/>
      <c r="K934" s="55"/>
      <c r="L934" s="55"/>
    </row>
    <row r="935">
      <c r="B935" s="28"/>
      <c r="C935" s="28"/>
      <c r="E935" s="55"/>
      <c r="F935" s="55"/>
      <c r="K935" s="55"/>
      <c r="L935" s="55"/>
    </row>
    <row r="936">
      <c r="B936" s="28"/>
      <c r="C936" s="28"/>
      <c r="E936" s="55"/>
      <c r="F936" s="55"/>
      <c r="K936" s="55"/>
      <c r="L936" s="55"/>
    </row>
    <row r="937">
      <c r="B937" s="28"/>
      <c r="C937" s="28"/>
      <c r="E937" s="55"/>
      <c r="F937" s="55"/>
      <c r="K937" s="55"/>
      <c r="L937" s="55"/>
    </row>
    <row r="938">
      <c r="B938" s="28"/>
      <c r="C938" s="28"/>
      <c r="E938" s="55"/>
      <c r="F938" s="55"/>
      <c r="K938" s="55"/>
      <c r="L938" s="55"/>
    </row>
    <row r="939">
      <c r="B939" s="28"/>
      <c r="C939" s="28"/>
      <c r="E939" s="55"/>
      <c r="F939" s="55"/>
      <c r="K939" s="55"/>
      <c r="L939" s="55"/>
    </row>
    <row r="940">
      <c r="B940" s="28"/>
      <c r="C940" s="28"/>
      <c r="E940" s="55"/>
      <c r="F940" s="55"/>
      <c r="K940" s="55"/>
      <c r="L940" s="55"/>
    </row>
    <row r="941">
      <c r="B941" s="28"/>
      <c r="C941" s="28"/>
      <c r="E941" s="55"/>
      <c r="F941" s="55"/>
      <c r="K941" s="55"/>
      <c r="L941" s="55"/>
    </row>
    <row r="942">
      <c r="B942" s="28"/>
      <c r="C942" s="28"/>
      <c r="E942" s="55"/>
      <c r="F942" s="55"/>
      <c r="K942" s="55"/>
      <c r="L942" s="55"/>
    </row>
    <row r="943">
      <c r="B943" s="28"/>
      <c r="C943" s="28"/>
      <c r="E943" s="55"/>
      <c r="F943" s="55"/>
      <c r="K943" s="55"/>
      <c r="L943" s="55"/>
    </row>
    <row r="944">
      <c r="B944" s="28"/>
      <c r="C944" s="28"/>
      <c r="E944" s="55"/>
      <c r="F944" s="55"/>
      <c r="K944" s="55"/>
      <c r="L944" s="55"/>
    </row>
    <row r="945">
      <c r="B945" s="28"/>
      <c r="C945" s="28"/>
      <c r="E945" s="55"/>
      <c r="F945" s="55"/>
      <c r="K945" s="55"/>
      <c r="L945" s="55"/>
    </row>
    <row r="946">
      <c r="B946" s="28"/>
      <c r="C946" s="28"/>
      <c r="E946" s="55"/>
      <c r="F946" s="55"/>
      <c r="K946" s="55"/>
      <c r="L946" s="55"/>
    </row>
    <row r="947">
      <c r="B947" s="28"/>
      <c r="C947" s="28"/>
      <c r="E947" s="55"/>
      <c r="F947" s="55"/>
      <c r="K947" s="55"/>
      <c r="L947" s="55"/>
    </row>
    <row r="948">
      <c r="B948" s="28"/>
      <c r="C948" s="28"/>
      <c r="E948" s="55"/>
      <c r="F948" s="55"/>
      <c r="K948" s="55"/>
      <c r="L948" s="55"/>
    </row>
    <row r="949">
      <c r="B949" s="28"/>
      <c r="C949" s="28"/>
      <c r="E949" s="55"/>
      <c r="F949" s="55"/>
      <c r="K949" s="55"/>
      <c r="L949" s="55"/>
    </row>
    <row r="950">
      <c r="B950" s="28"/>
      <c r="C950" s="28"/>
      <c r="E950" s="55"/>
      <c r="F950" s="55"/>
      <c r="K950" s="55"/>
      <c r="L950" s="55"/>
    </row>
    <row r="951">
      <c r="B951" s="28"/>
      <c r="C951" s="28"/>
      <c r="E951" s="55"/>
      <c r="F951" s="55"/>
      <c r="K951" s="55"/>
      <c r="L951" s="55"/>
    </row>
    <row r="952">
      <c r="B952" s="28"/>
      <c r="C952" s="28"/>
      <c r="E952" s="55"/>
      <c r="F952" s="55"/>
      <c r="K952" s="55"/>
      <c r="L952" s="55"/>
    </row>
    <row r="953">
      <c r="B953" s="28"/>
      <c r="C953" s="28"/>
      <c r="E953" s="55"/>
      <c r="F953" s="55"/>
      <c r="K953" s="55"/>
      <c r="L953" s="55"/>
    </row>
    <row r="954">
      <c r="B954" s="28"/>
      <c r="C954" s="28"/>
      <c r="E954" s="55"/>
      <c r="F954" s="55"/>
      <c r="K954" s="55"/>
      <c r="L954" s="55"/>
    </row>
    <row r="955">
      <c r="B955" s="28"/>
      <c r="C955" s="28"/>
      <c r="E955" s="55"/>
      <c r="F955" s="55"/>
      <c r="K955" s="55"/>
      <c r="L955" s="55"/>
    </row>
    <row r="956">
      <c r="B956" s="28"/>
      <c r="C956" s="28"/>
      <c r="E956" s="55"/>
      <c r="F956" s="55"/>
      <c r="K956" s="55"/>
      <c r="L956" s="55"/>
    </row>
    <row r="957">
      <c r="B957" s="28"/>
      <c r="C957" s="28"/>
      <c r="E957" s="55"/>
      <c r="F957" s="55"/>
      <c r="K957" s="55"/>
      <c r="L957" s="55"/>
    </row>
    <row r="958">
      <c r="B958" s="28"/>
      <c r="C958" s="28"/>
      <c r="E958" s="55"/>
      <c r="F958" s="55"/>
      <c r="K958" s="55"/>
      <c r="L958" s="55"/>
    </row>
    <row r="959">
      <c r="B959" s="28"/>
      <c r="C959" s="28"/>
      <c r="E959" s="55"/>
      <c r="F959" s="55"/>
      <c r="K959" s="55"/>
      <c r="L959" s="55"/>
    </row>
    <row r="960">
      <c r="B960" s="28"/>
      <c r="C960" s="28"/>
      <c r="E960" s="55"/>
      <c r="F960" s="55"/>
      <c r="K960" s="55"/>
      <c r="L960" s="55"/>
    </row>
    <row r="961">
      <c r="B961" s="28"/>
      <c r="C961" s="28"/>
      <c r="E961" s="55"/>
      <c r="F961" s="55"/>
      <c r="K961" s="55"/>
      <c r="L961" s="55"/>
    </row>
    <row r="962">
      <c r="B962" s="28"/>
      <c r="C962" s="28"/>
      <c r="E962" s="55"/>
      <c r="F962" s="55"/>
      <c r="K962" s="55"/>
      <c r="L962" s="55"/>
    </row>
    <row r="963">
      <c r="B963" s="28"/>
      <c r="C963" s="28"/>
      <c r="E963" s="55"/>
      <c r="F963" s="55"/>
      <c r="K963" s="55"/>
      <c r="L963" s="55"/>
    </row>
    <row r="964">
      <c r="B964" s="28"/>
      <c r="C964" s="28"/>
      <c r="E964" s="55"/>
      <c r="F964" s="55"/>
      <c r="K964" s="55"/>
      <c r="L964" s="55"/>
    </row>
    <row r="965">
      <c r="B965" s="28"/>
      <c r="C965" s="28"/>
      <c r="E965" s="55"/>
      <c r="F965" s="55"/>
      <c r="K965" s="55"/>
      <c r="L965" s="55"/>
    </row>
    <row r="966">
      <c r="B966" s="28"/>
      <c r="C966" s="28"/>
      <c r="E966" s="55"/>
      <c r="F966" s="55"/>
      <c r="K966" s="55"/>
      <c r="L966" s="55"/>
    </row>
    <row r="967">
      <c r="B967" s="28"/>
      <c r="C967" s="28"/>
      <c r="E967" s="55"/>
      <c r="F967" s="55"/>
      <c r="K967" s="55"/>
      <c r="L967" s="55"/>
    </row>
    <row r="968">
      <c r="B968" s="28"/>
      <c r="C968" s="28"/>
      <c r="E968" s="55"/>
      <c r="F968" s="55"/>
      <c r="K968" s="55"/>
      <c r="L968" s="55"/>
    </row>
    <row r="969">
      <c r="B969" s="28"/>
      <c r="C969" s="28"/>
      <c r="E969" s="55"/>
      <c r="F969" s="55"/>
      <c r="K969" s="55"/>
      <c r="L969" s="55"/>
    </row>
    <row r="970">
      <c r="B970" s="28"/>
      <c r="C970" s="28"/>
      <c r="E970" s="55"/>
      <c r="F970" s="55"/>
      <c r="K970" s="55"/>
      <c r="L970" s="55"/>
    </row>
    <row r="971">
      <c r="B971" s="28"/>
      <c r="C971" s="28"/>
      <c r="E971" s="55"/>
      <c r="F971" s="55"/>
      <c r="K971" s="55"/>
      <c r="L971" s="55"/>
    </row>
    <row r="972">
      <c r="B972" s="28"/>
      <c r="C972" s="28"/>
      <c r="E972" s="55"/>
      <c r="F972" s="55"/>
      <c r="K972" s="55"/>
      <c r="L972" s="55"/>
    </row>
    <row r="973">
      <c r="B973" s="28"/>
      <c r="C973" s="28"/>
      <c r="E973" s="55"/>
      <c r="F973" s="55"/>
      <c r="K973" s="55"/>
      <c r="L973" s="55"/>
    </row>
    <row r="974">
      <c r="B974" s="28"/>
      <c r="C974" s="28"/>
      <c r="E974" s="55"/>
      <c r="F974" s="55"/>
      <c r="K974" s="55"/>
      <c r="L974" s="55"/>
    </row>
    <row r="975">
      <c r="B975" s="28"/>
      <c r="C975" s="28"/>
      <c r="E975" s="55"/>
      <c r="F975" s="55"/>
      <c r="K975" s="55"/>
      <c r="L975" s="55"/>
    </row>
    <row r="976">
      <c r="B976" s="28"/>
      <c r="C976" s="28"/>
      <c r="E976" s="55"/>
      <c r="F976" s="55"/>
      <c r="K976" s="55"/>
      <c r="L976" s="55"/>
    </row>
    <row r="977">
      <c r="B977" s="28"/>
      <c r="C977" s="28"/>
      <c r="E977" s="55"/>
      <c r="F977" s="55"/>
      <c r="K977" s="55"/>
      <c r="L977" s="55"/>
    </row>
    <row r="978">
      <c r="B978" s="28"/>
      <c r="C978" s="28"/>
      <c r="E978" s="55"/>
      <c r="F978" s="55"/>
      <c r="K978" s="55"/>
      <c r="L978" s="55"/>
    </row>
    <row r="979">
      <c r="B979" s="28"/>
      <c r="C979" s="28"/>
      <c r="E979" s="55"/>
      <c r="F979" s="55"/>
      <c r="K979" s="55"/>
      <c r="L979" s="55"/>
    </row>
    <row r="980">
      <c r="B980" s="28"/>
      <c r="C980" s="28"/>
      <c r="E980" s="55"/>
      <c r="F980" s="55"/>
      <c r="K980" s="55"/>
      <c r="L980" s="55"/>
    </row>
    <row r="981">
      <c r="B981" s="28"/>
      <c r="C981" s="28"/>
      <c r="E981" s="55"/>
      <c r="F981" s="55"/>
      <c r="K981" s="55"/>
      <c r="L981" s="55"/>
    </row>
    <row r="982">
      <c r="B982" s="28"/>
      <c r="C982" s="28"/>
      <c r="E982" s="55"/>
      <c r="F982" s="55"/>
      <c r="K982" s="55"/>
      <c r="L982" s="55"/>
    </row>
    <row r="983">
      <c r="B983" s="28"/>
      <c r="C983" s="28"/>
      <c r="E983" s="55"/>
      <c r="F983" s="55"/>
      <c r="K983" s="55"/>
      <c r="L983" s="55"/>
    </row>
    <row r="984">
      <c r="B984" s="28"/>
      <c r="C984" s="28"/>
      <c r="E984" s="55"/>
      <c r="F984" s="55"/>
      <c r="K984" s="55"/>
      <c r="L984" s="55"/>
    </row>
    <row r="985">
      <c r="B985" s="28"/>
      <c r="C985" s="28"/>
      <c r="E985" s="55"/>
      <c r="F985" s="55"/>
      <c r="K985" s="55"/>
      <c r="L985" s="55"/>
    </row>
    <row r="986">
      <c r="B986" s="28"/>
      <c r="C986" s="28"/>
      <c r="E986" s="55"/>
      <c r="F986" s="55"/>
      <c r="K986" s="55"/>
      <c r="L986" s="55"/>
    </row>
    <row r="987">
      <c r="B987" s="28"/>
      <c r="C987" s="28"/>
      <c r="E987" s="55"/>
      <c r="F987" s="55"/>
      <c r="K987" s="55"/>
      <c r="L987" s="55"/>
    </row>
    <row r="988">
      <c r="B988" s="28"/>
      <c r="C988" s="28"/>
      <c r="E988" s="55"/>
      <c r="F988" s="55"/>
      <c r="K988" s="55"/>
      <c r="L988" s="55"/>
    </row>
    <row r="989">
      <c r="B989" s="28"/>
      <c r="C989" s="28"/>
      <c r="E989" s="55"/>
      <c r="F989" s="55"/>
      <c r="K989" s="55"/>
      <c r="L989" s="55"/>
    </row>
    <row r="990">
      <c r="B990" s="28"/>
      <c r="C990" s="28"/>
      <c r="E990" s="55"/>
      <c r="F990" s="55"/>
      <c r="K990" s="55"/>
      <c r="L990" s="55"/>
    </row>
    <row r="991">
      <c r="B991" s="28"/>
      <c r="C991" s="28"/>
      <c r="E991" s="55"/>
      <c r="F991" s="55"/>
      <c r="K991" s="55"/>
      <c r="L991" s="55"/>
    </row>
    <row r="992">
      <c r="B992" s="28"/>
      <c r="C992" s="28"/>
      <c r="E992" s="55"/>
      <c r="F992" s="55"/>
      <c r="K992" s="55"/>
      <c r="L992" s="55"/>
    </row>
    <row r="993">
      <c r="B993" s="28"/>
      <c r="C993" s="28"/>
      <c r="E993" s="55"/>
      <c r="F993" s="55"/>
      <c r="K993" s="55"/>
      <c r="L993" s="55"/>
    </row>
    <row r="994">
      <c r="B994" s="28"/>
      <c r="C994" s="28"/>
      <c r="E994" s="55"/>
      <c r="F994" s="55"/>
      <c r="K994" s="55"/>
      <c r="L994" s="55"/>
    </row>
    <row r="995">
      <c r="B995" s="28"/>
      <c r="C995" s="28"/>
      <c r="E995" s="55"/>
      <c r="F995" s="55"/>
      <c r="K995" s="55"/>
      <c r="L995" s="55"/>
    </row>
    <row r="996">
      <c r="B996" s="28"/>
      <c r="C996" s="28"/>
      <c r="E996" s="55"/>
      <c r="F996" s="55"/>
      <c r="K996" s="55"/>
      <c r="L996" s="55"/>
    </row>
    <row r="997">
      <c r="B997" s="28"/>
      <c r="C997" s="28"/>
      <c r="E997" s="55"/>
      <c r="F997" s="55"/>
      <c r="K997" s="55"/>
      <c r="L997" s="55"/>
    </row>
    <row r="998">
      <c r="B998" s="28"/>
      <c r="C998" s="28"/>
      <c r="E998" s="55"/>
      <c r="F998" s="55"/>
      <c r="K998" s="55"/>
      <c r="L998" s="55"/>
    </row>
    <row r="999">
      <c r="B999" s="28"/>
      <c r="C999" s="28"/>
      <c r="E999" s="55"/>
      <c r="F999" s="55"/>
      <c r="K999" s="55"/>
      <c r="L999" s="55"/>
    </row>
    <row r="1000">
      <c r="B1000" s="28"/>
      <c r="C1000" s="28"/>
      <c r="E1000" s="55"/>
      <c r="F1000" s="55"/>
      <c r="K1000" s="55"/>
      <c r="L1000" s="55"/>
    </row>
    <row r="1001">
      <c r="B1001" s="28"/>
      <c r="C1001" s="28"/>
      <c r="E1001" s="55"/>
      <c r="F1001" s="55"/>
      <c r="K1001" s="55"/>
      <c r="L1001" s="55"/>
    </row>
    <row r="1002">
      <c r="B1002" s="28"/>
      <c r="C1002" s="28"/>
      <c r="E1002" s="55"/>
      <c r="F1002" s="55"/>
      <c r="K1002" s="55"/>
      <c r="L1002" s="55"/>
    </row>
    <row r="1003">
      <c r="B1003" s="28"/>
      <c r="C1003" s="28"/>
      <c r="E1003" s="55"/>
      <c r="F1003" s="55"/>
      <c r="K1003" s="55"/>
      <c r="L1003" s="55"/>
    </row>
    <row r="1004">
      <c r="B1004" s="28"/>
      <c r="C1004" s="28"/>
      <c r="E1004" s="55"/>
      <c r="F1004" s="55"/>
      <c r="K1004" s="55"/>
      <c r="L1004" s="55"/>
    </row>
    <row r="1005">
      <c r="B1005" s="28"/>
      <c r="C1005" s="28"/>
      <c r="E1005" s="55"/>
      <c r="F1005" s="55"/>
      <c r="K1005" s="55"/>
      <c r="L1005" s="55"/>
    </row>
    <row r="1006">
      <c r="B1006" s="28"/>
      <c r="C1006" s="28"/>
      <c r="E1006" s="55"/>
      <c r="F1006" s="55"/>
      <c r="K1006" s="55"/>
      <c r="L1006" s="55"/>
    </row>
    <row r="1007">
      <c r="B1007" s="28"/>
      <c r="C1007" s="28"/>
      <c r="E1007" s="55"/>
      <c r="F1007" s="55"/>
      <c r="K1007" s="55"/>
      <c r="L1007" s="55"/>
    </row>
    <row r="1008">
      <c r="B1008" s="28"/>
      <c r="C1008" s="28"/>
      <c r="E1008" s="55"/>
      <c r="F1008" s="55"/>
      <c r="K1008" s="55"/>
      <c r="L1008" s="55"/>
    </row>
    <row r="1009">
      <c r="B1009" s="28"/>
      <c r="C1009" s="28"/>
      <c r="E1009" s="55"/>
      <c r="F1009" s="55"/>
      <c r="K1009" s="55"/>
      <c r="L1009" s="55"/>
    </row>
    <row r="1010">
      <c r="B1010" s="28"/>
      <c r="C1010" s="28"/>
      <c r="E1010" s="55"/>
      <c r="F1010" s="55"/>
      <c r="K1010" s="55"/>
      <c r="L1010" s="55"/>
    </row>
    <row r="1011">
      <c r="B1011" s="28"/>
      <c r="C1011" s="28"/>
      <c r="E1011" s="55"/>
      <c r="F1011" s="55"/>
      <c r="K1011" s="55"/>
      <c r="L1011" s="55"/>
    </row>
    <row r="1012">
      <c r="B1012" s="28"/>
      <c r="C1012" s="28"/>
      <c r="E1012" s="55"/>
      <c r="F1012" s="55"/>
      <c r="K1012" s="55"/>
      <c r="L1012" s="55"/>
    </row>
    <row r="1013">
      <c r="B1013" s="28"/>
      <c r="C1013" s="28"/>
      <c r="E1013" s="55"/>
      <c r="F1013" s="55"/>
      <c r="K1013" s="55"/>
      <c r="L1013" s="55"/>
    </row>
    <row r="1014">
      <c r="B1014" s="28"/>
      <c r="C1014" s="28"/>
      <c r="E1014" s="55"/>
      <c r="F1014" s="55"/>
      <c r="K1014" s="55"/>
      <c r="L1014" s="55"/>
    </row>
    <row r="1015">
      <c r="B1015" s="28"/>
      <c r="C1015" s="28"/>
      <c r="E1015" s="55"/>
      <c r="F1015" s="55"/>
      <c r="K1015" s="55"/>
      <c r="L1015" s="55"/>
    </row>
    <row r="1016">
      <c r="B1016" s="28"/>
      <c r="C1016" s="28"/>
      <c r="E1016" s="55"/>
      <c r="F1016" s="55"/>
      <c r="K1016" s="55"/>
      <c r="L1016" s="55"/>
    </row>
    <row r="1017">
      <c r="B1017" s="28"/>
      <c r="C1017" s="28"/>
      <c r="E1017" s="55"/>
      <c r="F1017" s="55"/>
      <c r="K1017" s="55"/>
      <c r="L1017" s="55"/>
    </row>
    <row r="1018">
      <c r="B1018" s="28"/>
      <c r="C1018" s="28"/>
      <c r="E1018" s="55"/>
      <c r="F1018" s="55"/>
      <c r="K1018" s="55"/>
      <c r="L1018" s="55"/>
    </row>
    <row r="1019">
      <c r="B1019" s="28"/>
      <c r="C1019" s="28"/>
      <c r="E1019" s="55"/>
      <c r="F1019" s="55"/>
      <c r="K1019" s="55"/>
      <c r="L1019" s="55"/>
    </row>
    <row r="1020">
      <c r="B1020" s="28"/>
      <c r="C1020" s="28"/>
      <c r="E1020" s="55"/>
      <c r="F1020" s="55"/>
      <c r="K1020" s="55"/>
      <c r="L1020" s="55"/>
    </row>
    <row r="1021">
      <c r="B1021" s="28"/>
      <c r="C1021" s="28"/>
      <c r="E1021" s="55"/>
      <c r="F1021" s="55"/>
      <c r="K1021" s="55"/>
      <c r="L1021" s="55"/>
    </row>
    <row r="1022">
      <c r="B1022" s="28"/>
      <c r="C1022" s="28"/>
      <c r="E1022" s="55"/>
      <c r="F1022" s="55"/>
      <c r="K1022" s="55"/>
      <c r="L1022" s="55"/>
    </row>
    <row r="1023">
      <c r="B1023" s="28"/>
      <c r="C1023" s="28"/>
      <c r="E1023" s="55"/>
      <c r="F1023" s="55"/>
      <c r="K1023" s="55"/>
      <c r="L1023" s="55"/>
    </row>
    <row r="1024">
      <c r="B1024" s="28"/>
      <c r="C1024" s="28"/>
      <c r="E1024" s="55"/>
      <c r="F1024" s="55"/>
      <c r="K1024" s="55"/>
      <c r="L1024" s="55"/>
    </row>
    <row r="1025">
      <c r="B1025" s="28"/>
      <c r="C1025" s="28"/>
      <c r="E1025" s="55"/>
      <c r="F1025" s="55"/>
      <c r="K1025" s="55"/>
      <c r="L1025" s="55"/>
    </row>
    <row r="1026">
      <c r="B1026" s="28"/>
      <c r="C1026" s="28"/>
      <c r="E1026" s="55"/>
      <c r="F1026" s="55"/>
      <c r="K1026" s="55"/>
      <c r="L1026" s="55"/>
    </row>
    <row r="1027">
      <c r="B1027" s="28"/>
      <c r="C1027" s="28"/>
      <c r="E1027" s="55"/>
      <c r="F1027" s="55"/>
      <c r="K1027" s="55"/>
      <c r="L1027" s="55"/>
    </row>
    <row r="1028">
      <c r="B1028" s="28"/>
      <c r="C1028" s="28"/>
      <c r="E1028" s="55"/>
      <c r="F1028" s="55"/>
      <c r="K1028" s="55"/>
      <c r="L1028" s="55"/>
    </row>
    <row r="1029">
      <c r="B1029" s="28"/>
      <c r="C1029" s="28"/>
      <c r="E1029" s="55"/>
      <c r="F1029" s="55"/>
      <c r="K1029" s="55"/>
      <c r="L1029" s="55"/>
    </row>
    <row r="1030">
      <c r="B1030" s="28"/>
      <c r="C1030" s="28"/>
      <c r="E1030" s="55"/>
      <c r="F1030" s="55"/>
      <c r="K1030" s="55"/>
      <c r="L1030" s="55"/>
    </row>
    <row r="1031">
      <c r="B1031" s="28"/>
      <c r="C1031" s="28"/>
      <c r="E1031" s="55"/>
      <c r="F1031" s="55"/>
      <c r="K1031" s="55"/>
      <c r="L1031" s="55"/>
    </row>
    <row r="1032">
      <c r="B1032" s="28"/>
      <c r="C1032" s="28"/>
      <c r="E1032" s="55"/>
      <c r="F1032" s="55"/>
      <c r="K1032" s="55"/>
      <c r="L1032" s="55"/>
    </row>
    <row r="1033">
      <c r="B1033" s="28"/>
      <c r="C1033" s="28"/>
      <c r="E1033" s="55"/>
      <c r="F1033" s="55"/>
      <c r="K1033" s="55"/>
      <c r="L1033" s="55"/>
    </row>
    <row r="1034">
      <c r="B1034" s="28"/>
      <c r="C1034" s="28"/>
      <c r="E1034" s="55"/>
      <c r="F1034" s="55"/>
      <c r="K1034" s="55"/>
      <c r="L1034" s="55"/>
    </row>
    <row r="1035">
      <c r="B1035" s="28"/>
      <c r="C1035" s="28"/>
      <c r="E1035" s="55"/>
      <c r="F1035" s="55"/>
      <c r="K1035" s="55"/>
      <c r="L1035" s="55"/>
    </row>
    <row r="1036">
      <c r="B1036" s="28"/>
      <c r="C1036" s="28"/>
      <c r="E1036" s="55"/>
      <c r="F1036" s="55"/>
      <c r="K1036" s="55"/>
      <c r="L1036" s="55"/>
    </row>
    <row r="1037">
      <c r="B1037" s="28"/>
      <c r="C1037" s="28"/>
      <c r="E1037" s="55"/>
      <c r="F1037" s="55"/>
      <c r="K1037" s="55"/>
      <c r="L1037" s="55"/>
    </row>
    <row r="1038">
      <c r="B1038" s="28"/>
      <c r="C1038" s="28"/>
      <c r="E1038" s="55"/>
      <c r="F1038" s="55"/>
      <c r="K1038" s="55"/>
      <c r="L1038" s="55"/>
    </row>
    <row r="1039">
      <c r="B1039" s="28"/>
      <c r="C1039" s="28"/>
      <c r="E1039" s="55"/>
      <c r="F1039" s="55"/>
      <c r="K1039" s="55"/>
      <c r="L1039" s="55"/>
    </row>
  </sheetData>
  <mergeCells count="5">
    <mergeCell ref="A1:C1"/>
    <mergeCell ref="A2:C2"/>
    <mergeCell ref="A3:C3"/>
    <mergeCell ref="D4:H4"/>
    <mergeCell ref="J4:N4"/>
  </mergeCells>
  <hyperlinks>
    <hyperlink r:id="rId2" ref="G6"/>
    <hyperlink r:id="rId3" ref="M6"/>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19.63"/>
    <col customWidth="1" min="2" max="3" width="23.38"/>
    <col customWidth="1" min="4" max="8" width="15.13"/>
    <col customWidth="1" min="10" max="14" width="15.13"/>
  </cols>
  <sheetData>
    <row r="1">
      <c r="A1" s="3" t="s">
        <v>4</v>
      </c>
      <c r="D1" s="4"/>
      <c r="E1" s="5"/>
      <c r="F1" s="5"/>
      <c r="G1" s="4"/>
      <c r="H1" s="4"/>
      <c r="I1" s="6"/>
      <c r="J1" s="6"/>
      <c r="K1" s="7"/>
      <c r="L1" s="7"/>
      <c r="M1" s="6"/>
      <c r="N1" s="6"/>
      <c r="O1" s="6"/>
      <c r="P1" s="6"/>
      <c r="Q1" s="6"/>
      <c r="R1" s="6"/>
      <c r="S1" s="6"/>
      <c r="T1" s="6"/>
      <c r="U1" s="6"/>
      <c r="V1" s="6"/>
      <c r="W1" s="6"/>
      <c r="X1" s="6"/>
      <c r="Y1" s="6"/>
      <c r="Z1" s="6"/>
      <c r="AA1" s="6"/>
      <c r="AB1" s="6"/>
    </row>
    <row r="2">
      <c r="A2" s="3" t="s">
        <v>5</v>
      </c>
      <c r="D2" s="4"/>
      <c r="E2" s="5"/>
      <c r="F2" s="5"/>
      <c r="G2" s="4"/>
      <c r="H2" s="4"/>
      <c r="I2" s="6"/>
      <c r="J2" s="6"/>
      <c r="K2" s="7"/>
      <c r="L2" s="7"/>
      <c r="M2" s="6"/>
      <c r="N2" s="6"/>
      <c r="O2" s="6"/>
      <c r="P2" s="6"/>
      <c r="Q2" s="6"/>
      <c r="R2" s="6"/>
      <c r="S2" s="6"/>
      <c r="T2" s="6"/>
      <c r="U2" s="6"/>
      <c r="V2" s="6"/>
      <c r="W2" s="6"/>
      <c r="X2" s="6"/>
      <c r="Y2" s="6"/>
      <c r="Z2" s="6"/>
      <c r="AA2" s="6"/>
      <c r="AB2" s="6"/>
    </row>
    <row r="3">
      <c r="A3" s="3" t="s">
        <v>155</v>
      </c>
      <c r="D3" s="6"/>
      <c r="E3" s="5"/>
      <c r="F3" s="5"/>
      <c r="G3" s="4"/>
      <c r="H3" s="4"/>
      <c r="I3" s="6"/>
      <c r="J3" s="6"/>
      <c r="K3" s="7"/>
      <c r="L3" s="7"/>
      <c r="M3" s="6"/>
      <c r="N3" s="6"/>
      <c r="O3" s="6"/>
      <c r="P3" s="6"/>
      <c r="Q3" s="6"/>
      <c r="R3" s="6"/>
      <c r="S3" s="6"/>
      <c r="T3" s="6"/>
      <c r="U3" s="6"/>
      <c r="V3" s="6"/>
      <c r="W3" s="6"/>
      <c r="X3" s="6"/>
      <c r="Y3" s="6"/>
      <c r="Z3" s="6"/>
      <c r="AA3" s="6"/>
      <c r="AB3" s="6"/>
    </row>
    <row r="4">
      <c r="B4" s="8"/>
      <c r="C4" s="8"/>
      <c r="D4" s="9" t="s">
        <v>7</v>
      </c>
      <c r="J4" s="10" t="s">
        <v>8</v>
      </c>
    </row>
    <row r="5">
      <c r="B5" s="8"/>
      <c r="C5" s="8"/>
      <c r="D5" s="11" t="s">
        <v>9</v>
      </c>
      <c r="E5" s="12" t="s">
        <v>9</v>
      </c>
      <c r="F5" s="13" t="s">
        <v>9</v>
      </c>
      <c r="G5" s="1" t="s">
        <v>9</v>
      </c>
      <c r="H5" s="11" t="s">
        <v>9</v>
      </c>
      <c r="J5" s="11" t="s">
        <v>9</v>
      </c>
      <c r="K5" s="12" t="s">
        <v>9</v>
      </c>
      <c r="L5" s="13" t="s">
        <v>9</v>
      </c>
      <c r="M5" s="1" t="s">
        <v>9</v>
      </c>
      <c r="N5" s="11" t="s">
        <v>9</v>
      </c>
    </row>
    <row r="6">
      <c r="A6" s="14" t="s">
        <v>10</v>
      </c>
      <c r="B6" s="15" t="s">
        <v>11</v>
      </c>
      <c r="C6" s="15" t="s">
        <v>12</v>
      </c>
      <c r="D6" s="16" t="s">
        <v>13</v>
      </c>
      <c r="E6" s="17" t="s">
        <v>14</v>
      </c>
      <c r="F6" s="18" t="s">
        <v>15</v>
      </c>
      <c r="G6" s="19" t="s">
        <v>156</v>
      </c>
      <c r="H6" s="16" t="s">
        <v>17</v>
      </c>
      <c r="J6" s="16" t="s">
        <v>13</v>
      </c>
      <c r="K6" s="17" t="s">
        <v>14</v>
      </c>
      <c r="L6" s="18" t="s">
        <v>15</v>
      </c>
      <c r="M6" s="19" t="s">
        <v>157</v>
      </c>
      <c r="N6" s="16" t="s">
        <v>17</v>
      </c>
    </row>
    <row r="7">
      <c r="A7" s="20" t="s">
        <v>19</v>
      </c>
      <c r="B7" s="21" t="s">
        <v>20</v>
      </c>
      <c r="C7" s="22"/>
      <c r="D7" s="23"/>
      <c r="E7" s="24"/>
      <c r="F7" s="24"/>
      <c r="G7" s="23"/>
      <c r="H7" s="23"/>
      <c r="J7" s="23"/>
      <c r="K7" s="24"/>
      <c r="L7" s="24"/>
      <c r="M7" s="23"/>
      <c r="N7" s="23"/>
      <c r="O7" s="23"/>
      <c r="P7" s="23"/>
      <c r="Q7" s="23"/>
      <c r="R7" s="23"/>
      <c r="S7" s="23"/>
      <c r="T7" s="23"/>
      <c r="U7" s="23"/>
      <c r="V7" s="23"/>
      <c r="W7" s="23"/>
      <c r="X7" s="23"/>
      <c r="Y7" s="23"/>
      <c r="Z7" s="23"/>
      <c r="AA7" s="23"/>
      <c r="AB7" s="23"/>
    </row>
    <row r="8">
      <c r="A8" s="1" t="s">
        <v>21</v>
      </c>
      <c r="B8" s="8" t="s">
        <v>22</v>
      </c>
      <c r="C8" s="8" t="s">
        <v>23</v>
      </c>
      <c r="D8" s="11">
        <v>13476.0</v>
      </c>
      <c r="E8" s="12">
        <v>11829.01</v>
      </c>
      <c r="F8" s="13">
        <v>11829.01174346</v>
      </c>
      <c r="H8" s="40"/>
      <c r="J8" s="25">
        <v>3819.346</v>
      </c>
      <c r="K8" s="12">
        <v>3173.48012854429</v>
      </c>
      <c r="L8" s="25">
        <v>3173.48012854</v>
      </c>
      <c r="N8" s="27"/>
    </row>
    <row r="9">
      <c r="A9" s="1" t="s">
        <v>25</v>
      </c>
      <c r="B9" s="8" t="s">
        <v>26</v>
      </c>
      <c r="C9" s="28"/>
      <c r="D9" s="13">
        <v>5.812736</v>
      </c>
      <c r="E9" s="12">
        <v>5.496</v>
      </c>
      <c r="F9" s="13">
        <v>5.5</v>
      </c>
      <c r="H9" s="40"/>
      <c r="J9" s="25">
        <v>4.940931</v>
      </c>
      <c r="K9" s="12">
        <v>4.774</v>
      </c>
      <c r="L9" s="25">
        <v>4.667</v>
      </c>
      <c r="N9" s="27"/>
    </row>
    <row r="10">
      <c r="A10" s="1" t="s">
        <v>28</v>
      </c>
      <c r="B10" s="8" t="s">
        <v>29</v>
      </c>
      <c r="C10" s="8" t="s">
        <v>30</v>
      </c>
      <c r="D10" s="11">
        <v>1.1</v>
      </c>
      <c r="E10" s="12">
        <v>1.09420828803668</v>
      </c>
      <c r="F10" s="13">
        <v>1.11</v>
      </c>
      <c r="H10" s="40"/>
      <c r="J10" s="29">
        <v>1.1</v>
      </c>
      <c r="K10" s="12">
        <v>1.09420828803668</v>
      </c>
      <c r="L10" s="13">
        <v>1.11</v>
      </c>
      <c r="N10" s="27"/>
    </row>
    <row r="11">
      <c r="A11" s="1" t="s">
        <v>31</v>
      </c>
      <c r="B11" s="8" t="s">
        <v>32</v>
      </c>
      <c r="C11" s="8" t="s">
        <v>33</v>
      </c>
      <c r="D11" s="11">
        <v>14.1</v>
      </c>
      <c r="E11" s="12">
        <v>14.1369</v>
      </c>
      <c r="F11" s="13">
        <v>13.9</v>
      </c>
      <c r="H11" s="40"/>
      <c r="J11" s="29">
        <v>14.1</v>
      </c>
      <c r="K11" s="12">
        <v>14.1369</v>
      </c>
      <c r="L11" s="13">
        <v>13.9</v>
      </c>
      <c r="N11" s="27"/>
    </row>
    <row r="12">
      <c r="A12" s="1" t="s">
        <v>34</v>
      </c>
      <c r="B12" s="8" t="s">
        <v>35</v>
      </c>
      <c r="C12" s="8" t="s">
        <v>36</v>
      </c>
      <c r="D12" s="11">
        <v>7.87</v>
      </c>
      <c r="E12" s="12">
        <v>7.87</v>
      </c>
      <c r="F12" s="13">
        <v>7.87</v>
      </c>
      <c r="H12" s="40"/>
      <c r="J12" s="25">
        <v>7.87</v>
      </c>
      <c r="K12" s="12">
        <v>7.87</v>
      </c>
      <c r="L12" s="13">
        <v>7.87</v>
      </c>
      <c r="N12" s="27"/>
    </row>
    <row r="13">
      <c r="A13" s="1" t="s">
        <v>38</v>
      </c>
      <c r="B13" s="8" t="s">
        <v>39</v>
      </c>
      <c r="C13" s="8" t="s">
        <v>40</v>
      </c>
      <c r="D13" s="13">
        <v>427518.2</v>
      </c>
      <c r="E13" s="12">
        <v>427518.213511999</v>
      </c>
      <c r="F13" s="56">
        <f>42.75182135*100*100</f>
        <v>427518.2135</v>
      </c>
      <c r="H13" s="40"/>
      <c r="J13" s="25">
        <v>427518.2</v>
      </c>
      <c r="K13" s="12">
        <v>427518.213511999</v>
      </c>
      <c r="L13" s="56">
        <f>42.75182135*100*100</f>
        <v>427518.2135</v>
      </c>
      <c r="N13" s="27"/>
    </row>
    <row r="14">
      <c r="A14" s="31" t="s">
        <v>42</v>
      </c>
      <c r="B14" s="8" t="s">
        <v>43</v>
      </c>
      <c r="C14" s="8" t="s">
        <v>44</v>
      </c>
      <c r="D14" s="13">
        <v>500.0</v>
      </c>
      <c r="E14" s="12">
        <v>500.0</v>
      </c>
      <c r="F14" s="13">
        <v>500.0</v>
      </c>
      <c r="H14" s="40"/>
      <c r="J14" s="25">
        <v>1000.0</v>
      </c>
      <c r="K14" s="12">
        <v>1000.0</v>
      </c>
      <c r="L14" s="13">
        <v>1000.0</v>
      </c>
      <c r="N14" s="27"/>
    </row>
    <row r="15">
      <c r="A15" s="32" t="s">
        <v>46</v>
      </c>
      <c r="B15" s="8" t="s">
        <v>47</v>
      </c>
      <c r="C15" s="8" t="s">
        <v>44</v>
      </c>
      <c r="D15" s="11">
        <v>100.0</v>
      </c>
      <c r="E15" s="12">
        <v>100.0</v>
      </c>
      <c r="F15" s="13">
        <v>100.0</v>
      </c>
      <c r="H15" s="40"/>
      <c r="J15" s="25">
        <v>200.0</v>
      </c>
      <c r="K15" s="12">
        <v>200.0</v>
      </c>
      <c r="L15" s="13">
        <v>200.0</v>
      </c>
      <c r="N15" s="27"/>
    </row>
    <row r="16">
      <c r="A16" s="1" t="s">
        <v>49</v>
      </c>
      <c r="B16" s="8" t="s">
        <v>50</v>
      </c>
      <c r="C16" s="28"/>
      <c r="D16" s="11">
        <v>3.0</v>
      </c>
      <c r="E16" s="12">
        <v>3.0</v>
      </c>
      <c r="F16" s="13">
        <v>3.0</v>
      </c>
      <c r="H16" s="40"/>
      <c r="J16" s="29">
        <v>3.0</v>
      </c>
      <c r="K16" s="12">
        <v>3.0</v>
      </c>
      <c r="L16" s="13">
        <v>3.0</v>
      </c>
      <c r="N16" s="27"/>
    </row>
    <row r="17">
      <c r="A17" s="1" t="s">
        <v>51</v>
      </c>
      <c r="B17" s="8" t="s">
        <v>52</v>
      </c>
      <c r="C17" s="28"/>
      <c r="D17" s="11">
        <v>7.0</v>
      </c>
      <c r="E17" s="12">
        <v>7.0</v>
      </c>
      <c r="F17" s="13">
        <v>7.0</v>
      </c>
      <c r="H17" s="40"/>
      <c r="J17" s="29">
        <v>7.0</v>
      </c>
      <c r="K17" s="12">
        <v>7.0</v>
      </c>
      <c r="L17" s="13">
        <v>7.0</v>
      </c>
      <c r="N17" s="27"/>
    </row>
    <row r="18">
      <c r="A18" s="1" t="s">
        <v>54</v>
      </c>
      <c r="B18" s="8" t="s">
        <v>55</v>
      </c>
      <c r="C18" s="8" t="s">
        <v>56</v>
      </c>
      <c r="D18" s="13">
        <v>8249.895</v>
      </c>
      <c r="E18" s="12">
        <v>8280.0</v>
      </c>
      <c r="F18" s="13">
        <f>0.0958333*86400</f>
        <v>8279.99712</v>
      </c>
      <c r="H18" s="40"/>
      <c r="J18" s="25">
        <v>8249.895</v>
      </c>
      <c r="K18" s="12">
        <v>8280.0</v>
      </c>
      <c r="L18" s="13">
        <f>0.0958333*86400</f>
        <v>8279.99712</v>
      </c>
      <c r="N18" s="27"/>
    </row>
    <row r="19">
      <c r="A19" s="1" t="s">
        <v>57</v>
      </c>
      <c r="B19" s="8" t="s">
        <v>58</v>
      </c>
      <c r="C19" s="28"/>
      <c r="D19" s="11">
        <v>1.1</v>
      </c>
      <c r="E19" s="12">
        <v>1.1</v>
      </c>
      <c r="F19" s="13">
        <v>1.0</v>
      </c>
      <c r="H19" s="40"/>
      <c r="J19" s="25">
        <v>1.1</v>
      </c>
      <c r="K19" s="12">
        <v>1.1</v>
      </c>
      <c r="L19" s="13">
        <v>1.0</v>
      </c>
      <c r="N19" s="27"/>
    </row>
    <row r="20">
      <c r="A20" s="1" t="s">
        <v>59</v>
      </c>
      <c r="B20" s="8" t="s">
        <v>60</v>
      </c>
      <c r="C20" s="8" t="s">
        <v>61</v>
      </c>
      <c r="D20" s="13">
        <v>3.0E-5</v>
      </c>
      <c r="E20" s="12">
        <v>3.0E-5</v>
      </c>
      <c r="F20" s="13">
        <v>3.0E-5</v>
      </c>
      <c r="H20" s="40"/>
      <c r="J20" s="25">
        <v>3.0E-5</v>
      </c>
      <c r="K20" s="12">
        <v>3.0E-5</v>
      </c>
      <c r="L20" s="13">
        <v>3.0E-5</v>
      </c>
      <c r="N20" s="27"/>
    </row>
    <row r="21">
      <c r="A21" s="1" t="s">
        <v>62</v>
      </c>
      <c r="B21" s="8" t="s">
        <v>63</v>
      </c>
      <c r="C21" s="8" t="s">
        <v>64</v>
      </c>
      <c r="D21" s="13">
        <v>0.0</v>
      </c>
      <c r="E21" s="12">
        <v>0.0</v>
      </c>
      <c r="F21" s="13">
        <v>0.0</v>
      </c>
      <c r="H21" s="40"/>
      <c r="J21" s="25">
        <v>0.0</v>
      </c>
      <c r="K21" s="12">
        <v>0.0</v>
      </c>
      <c r="L21" s="13">
        <v>0.0</v>
      </c>
      <c r="N21" s="27"/>
    </row>
    <row r="22">
      <c r="A22" s="1" t="s">
        <v>65</v>
      </c>
      <c r="B22" s="8" t="s">
        <v>66</v>
      </c>
      <c r="C22" s="8" t="s">
        <v>67</v>
      </c>
      <c r="D22" s="13">
        <v>0.0013</v>
      </c>
      <c r="E22" s="12">
        <v>0.0013</v>
      </c>
      <c r="F22" s="13">
        <v>0.0013</v>
      </c>
      <c r="H22" s="40"/>
      <c r="J22" s="25">
        <v>0.0013</v>
      </c>
      <c r="K22" s="12">
        <v>0.0013</v>
      </c>
      <c r="L22" s="13">
        <v>0.0013</v>
      </c>
      <c r="N22" s="27"/>
    </row>
    <row r="23">
      <c r="A23" s="1" t="s">
        <v>68</v>
      </c>
      <c r="B23" s="8" t="s">
        <v>69</v>
      </c>
      <c r="C23" s="8" t="s">
        <v>56</v>
      </c>
      <c r="D23" s="13">
        <v>1000.0</v>
      </c>
      <c r="E23" s="12" t="s">
        <v>70</v>
      </c>
      <c r="F23" s="56"/>
      <c r="H23" s="40"/>
      <c r="J23" s="25">
        <v>1000.0</v>
      </c>
      <c r="K23" s="12" t="s">
        <v>70</v>
      </c>
      <c r="L23" s="56"/>
      <c r="N23" s="27"/>
    </row>
    <row r="24">
      <c r="A24" s="1" t="s">
        <v>71</v>
      </c>
      <c r="B24" s="8" t="s">
        <v>72</v>
      </c>
      <c r="C24" s="33" t="s">
        <v>73</v>
      </c>
      <c r="D24" s="25">
        <v>6.55225</v>
      </c>
      <c r="E24" s="26">
        <v>6.55</v>
      </c>
      <c r="F24" s="30">
        <f>0.00661157*1000</f>
        <v>6.61157</v>
      </c>
      <c r="G24" s="8"/>
      <c r="H24" s="27"/>
      <c r="I24" s="28"/>
      <c r="J24" s="25">
        <v>6.55225</v>
      </c>
      <c r="K24" s="26">
        <v>0.00655</v>
      </c>
      <c r="L24" s="30">
        <f>0.00661157*1000</f>
        <v>6.61157</v>
      </c>
      <c r="M24" s="28"/>
      <c r="N24" s="27"/>
      <c r="O24" s="28"/>
      <c r="P24" s="28"/>
      <c r="Q24" s="28"/>
      <c r="R24" s="28"/>
      <c r="S24" s="28"/>
      <c r="T24" s="28"/>
      <c r="U24" s="28"/>
    </row>
    <row r="25">
      <c r="A25" s="1" t="s">
        <v>74</v>
      </c>
      <c r="B25" s="8" t="s">
        <v>75</v>
      </c>
      <c r="C25" s="33"/>
      <c r="D25" s="13">
        <v>0.75</v>
      </c>
      <c r="E25" s="12">
        <v>0.75</v>
      </c>
      <c r="F25" s="13">
        <v>0.75</v>
      </c>
      <c r="H25" s="40"/>
      <c r="J25" s="25">
        <v>0.75</v>
      </c>
      <c r="K25" s="12">
        <v>0.75</v>
      </c>
      <c r="L25" s="13">
        <v>1.0</v>
      </c>
      <c r="N25" s="27"/>
    </row>
    <row r="26">
      <c r="A26" s="1" t="s">
        <v>76</v>
      </c>
      <c r="B26" s="8" t="s">
        <v>77</v>
      </c>
      <c r="C26" s="33"/>
      <c r="D26" s="13">
        <v>0.9</v>
      </c>
      <c r="E26" s="12">
        <v>0.9</v>
      </c>
      <c r="F26" s="13">
        <v>0.9</v>
      </c>
      <c r="H26" s="40"/>
      <c r="J26" s="25">
        <v>0.9</v>
      </c>
      <c r="K26" s="12">
        <v>0.9</v>
      </c>
      <c r="L26" s="13">
        <v>0.675</v>
      </c>
      <c r="N26" s="27"/>
    </row>
    <row r="27">
      <c r="A27" s="1" t="s">
        <v>78</v>
      </c>
      <c r="B27" s="8" t="s">
        <v>79</v>
      </c>
      <c r="C27" s="28"/>
      <c r="D27" s="13">
        <v>0.532</v>
      </c>
      <c r="E27" s="12">
        <v>0.532</v>
      </c>
      <c r="F27" s="13">
        <f>0.95*0.56</f>
        <v>0.532</v>
      </c>
      <c r="H27" s="40"/>
      <c r="J27" s="25">
        <v>0.532</v>
      </c>
      <c r="K27" s="12">
        <v>0.532</v>
      </c>
      <c r="L27" s="13">
        <f>0.95*0.56</f>
        <v>0.532</v>
      </c>
      <c r="N27" s="27"/>
    </row>
    <row r="28">
      <c r="A28" s="1" t="s">
        <v>80</v>
      </c>
      <c r="B28" s="8" t="s">
        <v>81</v>
      </c>
      <c r="C28" s="8" t="s">
        <v>82</v>
      </c>
      <c r="D28" s="11">
        <v>135.0</v>
      </c>
      <c r="E28" s="55"/>
      <c r="F28" s="13">
        <v>23.65043785</v>
      </c>
      <c r="H28" s="40"/>
      <c r="J28" s="29">
        <v>135.0</v>
      </c>
      <c r="K28" s="55"/>
      <c r="L28" s="13">
        <v>23.65043785</v>
      </c>
      <c r="N28" s="27"/>
    </row>
    <row r="29">
      <c r="A29" s="1" t="s">
        <v>83</v>
      </c>
      <c r="B29" s="8" t="s">
        <v>84</v>
      </c>
      <c r="C29" s="8" t="s">
        <v>82</v>
      </c>
      <c r="D29" s="11">
        <v>12.7</v>
      </c>
      <c r="E29" s="55"/>
      <c r="F29" s="13">
        <v>12.7</v>
      </c>
      <c r="H29" s="40"/>
      <c r="J29" s="29">
        <v>12.7</v>
      </c>
      <c r="K29" s="55"/>
      <c r="L29" s="13">
        <v>12.7</v>
      </c>
      <c r="N29" s="27"/>
    </row>
    <row r="30">
      <c r="A30" s="35"/>
      <c r="B30" s="36"/>
      <c r="C30" s="28"/>
      <c r="D30" s="40"/>
      <c r="E30" s="55"/>
      <c r="F30" s="56"/>
      <c r="H30" s="40"/>
      <c r="J30" s="27"/>
      <c r="K30" s="55"/>
      <c r="L30" s="30"/>
      <c r="N30" s="27"/>
    </row>
    <row r="31">
      <c r="A31" s="20" t="s">
        <v>85</v>
      </c>
      <c r="B31" s="21" t="s">
        <v>86</v>
      </c>
      <c r="C31" s="22"/>
      <c r="D31" s="23"/>
      <c r="E31" s="24"/>
      <c r="F31" s="24"/>
      <c r="G31" s="23"/>
      <c r="H31" s="23"/>
      <c r="J31" s="23"/>
      <c r="K31" s="24"/>
      <c r="L31" s="24"/>
      <c r="M31" s="23"/>
      <c r="N31" s="23"/>
      <c r="O31" s="23"/>
      <c r="P31" s="23"/>
      <c r="Q31" s="23"/>
      <c r="R31" s="23"/>
      <c r="S31" s="23"/>
      <c r="T31" s="23"/>
      <c r="U31" s="23"/>
      <c r="V31" s="23"/>
      <c r="W31" s="23"/>
      <c r="X31" s="23"/>
      <c r="Y31" s="23"/>
      <c r="Z31" s="23"/>
      <c r="AA31" s="23"/>
      <c r="AB31" s="23"/>
    </row>
    <row r="32">
      <c r="A32" s="1" t="s">
        <v>87</v>
      </c>
      <c r="B32" s="8" t="s">
        <v>88</v>
      </c>
      <c r="C32" s="8" t="s">
        <v>23</v>
      </c>
      <c r="D32" s="13">
        <v>63.75049</v>
      </c>
      <c r="E32" s="12">
        <v>60.95</v>
      </c>
      <c r="F32" s="13">
        <f>60181899.2941575/100/100/100</f>
        <v>60.18189929</v>
      </c>
      <c r="H32" s="40"/>
      <c r="J32" s="13">
        <v>40.32891</v>
      </c>
      <c r="K32" s="60">
        <v>47.45608647</v>
      </c>
      <c r="L32" s="60">
        <v>36.03933614</v>
      </c>
      <c r="N32" s="40"/>
      <c r="O32" s="55">
        <f t="shared" ref="O32:Q32" si="1">J32/D32</f>
        <v>0.6326054906</v>
      </c>
      <c r="P32" s="55">
        <f t="shared" si="1"/>
        <v>0.778606833</v>
      </c>
      <c r="Q32" s="55">
        <f t="shared" si="1"/>
        <v>0.5988401257</v>
      </c>
    </row>
    <row r="33">
      <c r="A33" s="1" t="s">
        <v>90</v>
      </c>
      <c r="B33" s="8" t="s">
        <v>91</v>
      </c>
      <c r="C33" s="8" t="s">
        <v>23</v>
      </c>
      <c r="D33" s="13">
        <v>6.747053E-9</v>
      </c>
      <c r="E33" s="12">
        <v>6.46E-9</v>
      </c>
      <c r="F33" s="56">
        <f>F32*10^(-0.4*24.95477758)</f>
        <v>0.000000006274149425</v>
      </c>
      <c r="H33" s="40"/>
      <c r="J33" s="13">
        <v>4.268223E-9</v>
      </c>
      <c r="K33" s="12">
        <v>5.03034517E-9</v>
      </c>
      <c r="L33" s="13">
        <v>3.75721243E-9</v>
      </c>
      <c r="N33" s="40"/>
    </row>
    <row r="34">
      <c r="A34" s="1" t="s">
        <v>93</v>
      </c>
      <c r="B34" s="8" t="s">
        <v>94</v>
      </c>
      <c r="C34" s="8" t="s">
        <v>95</v>
      </c>
      <c r="D34" s="13">
        <v>9.255915E-6</v>
      </c>
      <c r="E34" s="12">
        <v>7.46E-6</v>
      </c>
      <c r="F34" s="13">
        <v>9.3091515E-5</v>
      </c>
      <c r="H34" s="40"/>
      <c r="J34" s="13">
        <v>8.543913E-6</v>
      </c>
      <c r="K34" s="58">
        <v>2.00233059466696E-6</v>
      </c>
      <c r="L34" s="13">
        <v>8.59306293E-5</v>
      </c>
      <c r="N34" s="40"/>
    </row>
    <row r="35">
      <c r="A35" s="1" t="s">
        <v>96</v>
      </c>
      <c r="B35" s="8" t="s">
        <v>97</v>
      </c>
      <c r="C35" s="8" t="s">
        <v>95</v>
      </c>
      <c r="D35" s="13">
        <v>4.733318E-5</v>
      </c>
      <c r="E35" s="12">
        <v>5.62431605572512E-5</v>
      </c>
      <c r="F35" s="13">
        <v>5.30594741E-5</v>
      </c>
      <c r="H35" s="40"/>
      <c r="J35" s="13">
        <v>2.994323E-5</v>
      </c>
      <c r="K35" s="43">
        <v>1.50888811564214E-5</v>
      </c>
      <c r="L35" s="43">
        <v>1.18963105E-5</v>
      </c>
      <c r="N35" s="40"/>
    </row>
    <row r="36">
      <c r="B36" s="28"/>
      <c r="C36" s="28"/>
      <c r="D36" s="40"/>
      <c r="E36" s="55"/>
      <c r="F36" s="56"/>
      <c r="H36" s="40"/>
      <c r="J36" s="40"/>
      <c r="K36" s="45"/>
      <c r="L36" s="40"/>
      <c r="N36" s="40"/>
    </row>
    <row r="37">
      <c r="A37" s="20" t="s">
        <v>98</v>
      </c>
      <c r="B37" s="21" t="s">
        <v>99</v>
      </c>
      <c r="C37" s="22"/>
      <c r="D37" s="23"/>
      <c r="E37" s="24"/>
      <c r="F37" s="24"/>
      <c r="G37" s="23"/>
      <c r="H37" s="23"/>
      <c r="J37" s="23"/>
      <c r="K37" s="24"/>
      <c r="L37" s="24"/>
      <c r="M37" s="23"/>
      <c r="N37" s="23"/>
      <c r="O37" s="23"/>
      <c r="P37" s="23"/>
      <c r="Q37" s="23"/>
      <c r="R37" s="23"/>
      <c r="S37" s="23"/>
      <c r="T37" s="23"/>
      <c r="U37" s="23"/>
      <c r="V37" s="23"/>
      <c r="W37" s="23"/>
      <c r="X37" s="23"/>
      <c r="Y37" s="23"/>
      <c r="Z37" s="23"/>
      <c r="AA37" s="23"/>
      <c r="AB37" s="23"/>
    </row>
    <row r="38">
      <c r="A38" s="1" t="s">
        <v>100</v>
      </c>
      <c r="B38" s="8" t="s">
        <v>101</v>
      </c>
      <c r="C38" s="33" t="s">
        <v>102</v>
      </c>
      <c r="D38" s="13">
        <v>5.646756</v>
      </c>
      <c r="E38" s="12">
        <v>5.64615274</v>
      </c>
      <c r="F38" s="56">
        <f>0.07579607/(0.0000005/7.87*180/PI()*3600)</f>
        <v>5.783973347</v>
      </c>
      <c r="H38" s="40"/>
      <c r="J38" s="25">
        <v>2.823378</v>
      </c>
      <c r="K38" s="12">
        <v>2.82307637</v>
      </c>
      <c r="L38" s="25">
        <v>2.89198668</v>
      </c>
      <c r="N38" s="27"/>
    </row>
    <row r="39">
      <c r="A39" s="32" t="s">
        <v>103</v>
      </c>
      <c r="B39" s="8" t="s">
        <v>104</v>
      </c>
      <c r="C39" s="33" t="s">
        <v>105</v>
      </c>
      <c r="D39" s="13">
        <v>2.263674</v>
      </c>
      <c r="E39" s="12">
        <v>2.25647</v>
      </c>
      <c r="F39" s="13">
        <f>0.00039544/(0.0000005/7.87*180/PI()*3600)^2</f>
        <v>2.302712864</v>
      </c>
      <c r="H39" s="40"/>
      <c r="J39" s="25">
        <v>2.258514</v>
      </c>
      <c r="K39" s="12">
        <v>2.25647</v>
      </c>
      <c r="L39" s="25">
        <v>2.30272793</v>
      </c>
      <c r="N39" s="27"/>
    </row>
    <row r="40">
      <c r="A40" s="1" t="s">
        <v>106</v>
      </c>
      <c r="B40" s="8" t="s">
        <v>107</v>
      </c>
      <c r="C40" s="33"/>
      <c r="D40" s="13">
        <v>0.331502</v>
      </c>
      <c r="E40" s="12">
        <v>0.33603782</v>
      </c>
      <c r="F40" s="13">
        <v>0.34137021</v>
      </c>
      <c r="H40" s="40"/>
      <c r="J40" s="25">
        <v>0.1787462</v>
      </c>
      <c r="K40" s="12">
        <v>0.17471895</v>
      </c>
      <c r="L40" s="25">
        <v>0.18140854</v>
      </c>
      <c r="N40" s="27"/>
    </row>
    <row r="41">
      <c r="A41" s="1" t="s">
        <v>108</v>
      </c>
      <c r="B41" s="8" t="s">
        <v>109</v>
      </c>
      <c r="C41" s="57" t="s">
        <v>110</v>
      </c>
      <c r="D41" s="13">
        <v>3.903318E-14</v>
      </c>
      <c r="E41" s="12">
        <v>4.16260485E-14</v>
      </c>
      <c r="F41" s="13">
        <v>4.10444569E-14</v>
      </c>
      <c r="H41" s="40"/>
      <c r="J41" s="25">
        <v>1.334263E-13</v>
      </c>
      <c r="K41" s="12">
        <v>1.37633328E-13</v>
      </c>
      <c r="L41" s="25">
        <v>1.312105E-13</v>
      </c>
      <c r="N41" s="27"/>
    </row>
    <row r="42">
      <c r="A42" s="1" t="s">
        <v>111</v>
      </c>
      <c r="B42" s="8" t="s">
        <v>112</v>
      </c>
      <c r="C42" s="31" t="s">
        <v>110</v>
      </c>
      <c r="D42" s="13">
        <v>9.542153</v>
      </c>
      <c r="E42" s="12">
        <v>9.80284705</v>
      </c>
      <c r="F42" s="13">
        <v>9.89460432</v>
      </c>
      <c r="H42" s="40"/>
      <c r="J42" s="25">
        <v>6.92768</v>
      </c>
      <c r="K42" s="12">
        <v>6.56285493</v>
      </c>
      <c r="L42" s="25">
        <v>6.70072768</v>
      </c>
      <c r="N42" s="27"/>
    </row>
    <row r="43">
      <c r="A43" s="1" t="s">
        <v>113</v>
      </c>
      <c r="B43" s="8" t="s">
        <v>114</v>
      </c>
      <c r="C43" s="28"/>
      <c r="D43" s="13">
        <v>9.054697</v>
      </c>
      <c r="E43" s="12">
        <v>9.04620967</v>
      </c>
      <c r="F43" s="13">
        <v>9.04636774</v>
      </c>
      <c r="H43" s="40"/>
      <c r="J43" s="25">
        <v>36.13623</v>
      </c>
      <c r="K43" s="12">
        <v>36.18483868</v>
      </c>
      <c r="L43" s="25">
        <v>36.18547095</v>
      </c>
      <c r="N43" s="27"/>
    </row>
    <row r="44">
      <c r="A44" s="1" t="s">
        <v>115</v>
      </c>
      <c r="B44" s="8" t="s">
        <v>116</v>
      </c>
      <c r="C44" s="28"/>
      <c r="D44" s="25">
        <v>3.323305</v>
      </c>
      <c r="E44" s="26">
        <v>3.32167</v>
      </c>
      <c r="F44" s="61">
        <v>3.32167</v>
      </c>
      <c r="G44" s="28"/>
      <c r="H44" s="27"/>
      <c r="I44" s="28"/>
      <c r="J44" s="25">
        <v>7.453993</v>
      </c>
      <c r="K44" s="26">
        <v>7.449445</v>
      </c>
      <c r="L44" s="25">
        <v>7.449445</v>
      </c>
      <c r="M44" s="28"/>
      <c r="N44" s="27"/>
      <c r="O44" s="28"/>
      <c r="P44" s="28"/>
      <c r="Q44" s="28"/>
      <c r="R44" s="28"/>
      <c r="S44" s="28"/>
      <c r="T44" s="28"/>
      <c r="U44" s="28"/>
    </row>
    <row r="45">
      <c r="A45" s="1" t="s">
        <v>117</v>
      </c>
      <c r="B45" s="8" t="s">
        <v>118</v>
      </c>
      <c r="C45" s="8" t="s">
        <v>119</v>
      </c>
      <c r="D45" s="27"/>
      <c r="E45" s="34"/>
      <c r="F45" s="30"/>
      <c r="G45" s="28"/>
      <c r="H45" s="27"/>
      <c r="I45" s="28"/>
      <c r="J45" s="27"/>
      <c r="K45" s="34"/>
      <c r="L45" s="30"/>
      <c r="M45" s="28"/>
      <c r="N45" s="27"/>
      <c r="O45" s="28"/>
      <c r="P45" s="28"/>
      <c r="Q45" s="28"/>
      <c r="R45" s="28"/>
      <c r="S45" s="28"/>
      <c r="T45" s="28"/>
      <c r="U45" s="28"/>
    </row>
    <row r="46">
      <c r="A46" s="1" t="s">
        <v>120</v>
      </c>
      <c r="B46" s="8" t="s">
        <v>121</v>
      </c>
      <c r="C46" s="28"/>
      <c r="D46" s="25">
        <v>0.0</v>
      </c>
      <c r="E46" s="34"/>
      <c r="F46" s="30"/>
      <c r="G46" s="28"/>
      <c r="H46" s="27"/>
      <c r="I46" s="28"/>
      <c r="J46" s="25">
        <v>0.0</v>
      </c>
      <c r="K46" s="34"/>
      <c r="L46" s="30"/>
      <c r="M46" s="28"/>
      <c r="N46" s="27"/>
      <c r="O46" s="28"/>
      <c r="P46" s="28"/>
      <c r="Q46" s="28"/>
      <c r="R46" s="28"/>
      <c r="S46" s="28"/>
      <c r="T46" s="28"/>
      <c r="U46" s="28"/>
    </row>
    <row r="47">
      <c r="A47" s="1" t="s">
        <v>122</v>
      </c>
      <c r="B47" s="8" t="s">
        <v>123</v>
      </c>
      <c r="C47" s="33" t="s">
        <v>102</v>
      </c>
      <c r="D47" s="29">
        <v>3792.5907</v>
      </c>
      <c r="E47" s="34"/>
      <c r="F47" s="30"/>
      <c r="G47" s="28"/>
      <c r="H47" s="27"/>
      <c r="I47" s="28"/>
      <c r="J47" s="29">
        <v>1896.2953</v>
      </c>
      <c r="K47" s="34"/>
      <c r="L47" s="30"/>
      <c r="M47" s="28"/>
      <c r="N47" s="27"/>
      <c r="O47" s="28"/>
      <c r="P47" s="28"/>
      <c r="Q47" s="28"/>
      <c r="R47" s="28"/>
      <c r="S47" s="28"/>
      <c r="T47" s="28"/>
      <c r="U47" s="28"/>
    </row>
    <row r="48">
      <c r="B48" s="28"/>
      <c r="C48" s="28"/>
      <c r="D48" s="40"/>
      <c r="E48" s="55"/>
      <c r="F48" s="56"/>
      <c r="H48" s="40"/>
      <c r="J48" s="27"/>
      <c r="K48" s="55"/>
      <c r="L48" s="30"/>
      <c r="N48" s="27"/>
    </row>
    <row r="49">
      <c r="A49" s="20" t="s">
        <v>124</v>
      </c>
      <c r="B49" s="21" t="s">
        <v>125</v>
      </c>
      <c r="C49" s="46"/>
      <c r="D49" s="23"/>
      <c r="E49" s="24"/>
      <c r="F49" s="24"/>
      <c r="G49" s="23"/>
      <c r="H49" s="23"/>
      <c r="J49" s="23"/>
      <c r="K49" s="24"/>
      <c r="L49" s="24"/>
      <c r="M49" s="23"/>
      <c r="N49" s="23"/>
      <c r="O49" s="23"/>
      <c r="P49" s="23"/>
      <c r="Q49" s="23"/>
      <c r="R49" s="23"/>
      <c r="S49" s="23"/>
      <c r="T49" s="23"/>
      <c r="U49" s="23"/>
      <c r="V49" s="23"/>
      <c r="W49" s="23"/>
      <c r="X49" s="23"/>
      <c r="Y49" s="23"/>
      <c r="Z49" s="23"/>
      <c r="AA49" s="23"/>
      <c r="AB49" s="23"/>
    </row>
    <row r="50">
      <c r="A50" s="47" t="s">
        <v>126</v>
      </c>
      <c r="B50" s="48"/>
      <c r="C50" s="48"/>
      <c r="D50" s="49">
        <f t="shared" ref="D50:H50" si="2">D33*D13*D40*D27*D26*D25*D15</f>
        <v>0.03433762771</v>
      </c>
      <c r="E50" s="49">
        <f t="shared" si="2"/>
        <v>0.03332657655</v>
      </c>
      <c r="F50" s="49">
        <f t="shared" si="2"/>
        <v>0.0328814154</v>
      </c>
      <c r="G50" s="50">
        <f t="shared" si="2"/>
        <v>0</v>
      </c>
      <c r="H50" s="50">
        <f t="shared" si="2"/>
        <v>0</v>
      </c>
      <c r="I50" s="28"/>
      <c r="J50" s="49">
        <f t="shared" ref="J50:N50" si="3">J33*J13*J40*J27*J26*J25*J15</f>
        <v>0.02342523348</v>
      </c>
      <c r="K50" s="49">
        <f t="shared" si="3"/>
        <v>0.02698595674</v>
      </c>
      <c r="L50" s="49">
        <f t="shared" si="3"/>
        <v>0.02092779637</v>
      </c>
      <c r="M50" s="50">
        <f t="shared" si="3"/>
        <v>0</v>
      </c>
      <c r="N50" s="50">
        <f t="shared" si="3"/>
        <v>0</v>
      </c>
      <c r="O50" s="28"/>
      <c r="P50" s="28"/>
      <c r="Q50" s="28"/>
      <c r="R50" s="28"/>
      <c r="S50" s="28"/>
      <c r="T50" s="28"/>
      <c r="U50" s="28"/>
    </row>
    <row r="51">
      <c r="A51" s="1" t="s">
        <v>127</v>
      </c>
      <c r="B51" s="8" t="s">
        <v>128</v>
      </c>
      <c r="C51" s="8" t="s">
        <v>129</v>
      </c>
      <c r="D51" s="13">
        <v>0.03433763</v>
      </c>
      <c r="E51" s="12">
        <v>0.03332857</v>
      </c>
      <c r="F51" s="13">
        <v>0.03288142</v>
      </c>
      <c r="H51" s="40"/>
      <c r="J51" s="25">
        <v>0.02342523</v>
      </c>
      <c r="K51" s="12">
        <v>0.02698596</v>
      </c>
      <c r="L51" s="25">
        <v>0.0209278</v>
      </c>
      <c r="N51" s="27"/>
    </row>
    <row r="52">
      <c r="A52" s="47" t="s">
        <v>130</v>
      </c>
      <c r="B52" s="48"/>
      <c r="C52" s="48"/>
      <c r="D52" s="51">
        <f t="shared" ref="D52:H52" si="4">D32*D41*D39*D13*D27*D26*D25*D15</f>
        <v>0.00008647714781</v>
      </c>
      <c r="E52" s="51">
        <f t="shared" si="4"/>
        <v>0.00008788980209</v>
      </c>
      <c r="F52" s="51">
        <f t="shared" si="4"/>
        <v>0.00008732331556</v>
      </c>
      <c r="G52" s="51">
        <f t="shared" si="4"/>
        <v>0</v>
      </c>
      <c r="H52" s="51">
        <f t="shared" si="4"/>
        <v>0</v>
      </c>
      <c r="I52" s="26"/>
      <c r="J52" s="51">
        <f t="shared" ref="J52:N52" si="5">J32*J41*J39*J13*J27*J26*J25*J15</f>
        <v>0.0003731476602</v>
      </c>
      <c r="K52" s="51">
        <f t="shared" si="5"/>
        <v>0.000452527648</v>
      </c>
      <c r="L52" s="51">
        <f t="shared" si="5"/>
        <v>0.0003343397581</v>
      </c>
      <c r="M52" s="51">
        <f t="shared" si="5"/>
        <v>0</v>
      </c>
      <c r="N52" s="51">
        <f t="shared" si="5"/>
        <v>0</v>
      </c>
      <c r="O52" s="28"/>
      <c r="P52" s="28"/>
      <c r="Q52" s="28"/>
      <c r="R52" s="28"/>
      <c r="S52" s="28"/>
      <c r="T52" s="28"/>
      <c r="U52" s="28"/>
    </row>
    <row r="53">
      <c r="A53" s="1" t="s">
        <v>131</v>
      </c>
      <c r="B53" s="8" t="s">
        <v>132</v>
      </c>
      <c r="C53" s="8" t="s">
        <v>129</v>
      </c>
      <c r="D53" s="13">
        <v>8.647717E-5</v>
      </c>
      <c r="E53" s="12">
        <v>8.80230224312636E-5</v>
      </c>
      <c r="F53" s="13">
        <v>8.7323978E-5</v>
      </c>
      <c r="H53" s="40"/>
      <c r="J53" s="25">
        <v>3.731479E-4</v>
      </c>
      <c r="K53" s="12">
        <v>4.53235579436595E-4</v>
      </c>
      <c r="L53" s="25">
        <v>3.3434E-4</v>
      </c>
      <c r="N53" s="27"/>
    </row>
    <row r="54">
      <c r="A54" s="1" t="s">
        <v>133</v>
      </c>
      <c r="B54" s="8" t="s">
        <v>134</v>
      </c>
      <c r="C54" s="8" t="s">
        <v>129</v>
      </c>
      <c r="D54" s="13">
        <v>0.03294356</v>
      </c>
      <c r="E54" s="12">
        <v>0.0272458262595939</v>
      </c>
      <c r="F54" s="13">
        <v>0.34949621</v>
      </c>
      <c r="H54" s="40"/>
      <c r="J54" s="25">
        <v>0.1762172</v>
      </c>
      <c r="K54" s="12">
        <v>0.0391487471283888</v>
      </c>
      <c r="L54" s="25">
        <v>1.74780866</v>
      </c>
      <c r="N54" s="27"/>
    </row>
    <row r="55">
      <c r="A55" s="1" t="s">
        <v>135</v>
      </c>
      <c r="B55" s="8" t="s">
        <v>136</v>
      </c>
      <c r="C55" s="8" t="s">
        <v>129</v>
      </c>
      <c r="D55" s="13">
        <v>0.1684678</v>
      </c>
      <c r="E55" s="12">
        <v>0.205315263890224</v>
      </c>
      <c r="F55" s="13">
        <v>0.19829361</v>
      </c>
      <c r="H55" s="40"/>
      <c r="J55" s="42">
        <v>0.6175756</v>
      </c>
      <c r="K55" s="43">
        <v>0.295011620167198</v>
      </c>
      <c r="L55" s="42">
        <v>0.28821034</v>
      </c>
      <c r="N55" s="27"/>
    </row>
    <row r="56">
      <c r="A56" s="1" t="s">
        <v>137</v>
      </c>
      <c r="B56" s="8" t="s">
        <v>138</v>
      </c>
      <c r="C56" s="8" t="s">
        <v>129</v>
      </c>
      <c r="D56" s="13">
        <v>0.0</v>
      </c>
      <c r="E56" s="12">
        <v>0.0</v>
      </c>
      <c r="F56" s="13">
        <v>0.0</v>
      </c>
      <c r="H56" s="40"/>
      <c r="J56" s="25">
        <v>0.0</v>
      </c>
      <c r="K56" s="12">
        <v>0.0</v>
      </c>
      <c r="L56" s="25">
        <v>0.0</v>
      </c>
      <c r="N56" s="27"/>
    </row>
    <row r="57">
      <c r="A57" s="1" t="s">
        <v>139</v>
      </c>
      <c r="B57" s="8" t="s">
        <v>140</v>
      </c>
      <c r="C57" s="8" t="s">
        <v>129</v>
      </c>
      <c r="D57" s="13">
        <v>0.003813629</v>
      </c>
      <c r="E57" s="12">
        <v>0.0038118</v>
      </c>
      <c r="F57" s="13">
        <v>0.00381186</v>
      </c>
      <c r="H57" s="40"/>
      <c r="J57" s="25">
        <v>0.007386359</v>
      </c>
      <c r="K57" s="12">
        <v>0.00740015</v>
      </c>
      <c r="L57" s="25">
        <v>0.00740029</v>
      </c>
      <c r="N57" s="27"/>
    </row>
    <row r="58">
      <c r="A58" s="1" t="s">
        <v>141</v>
      </c>
      <c r="B58" s="8" t="s">
        <v>142</v>
      </c>
      <c r="C58" s="8" t="s">
        <v>129</v>
      </c>
      <c r="D58" s="13">
        <v>2.507838E-6</v>
      </c>
      <c r="E58" s="12">
        <v>2.55266765050664E-6</v>
      </c>
      <c r="F58" s="13">
        <v>2.53239536E-6</v>
      </c>
      <c r="H58" s="40"/>
      <c r="J58" s="25">
        <v>1.082129E-5</v>
      </c>
      <c r="K58" s="12">
        <v>1.31438318036612E-5</v>
      </c>
      <c r="L58" s="25">
        <v>9.69586308E-6</v>
      </c>
      <c r="N58" s="27"/>
    </row>
    <row r="59">
      <c r="B59" s="28"/>
      <c r="C59" s="28"/>
      <c r="D59" s="40"/>
      <c r="E59" s="55"/>
      <c r="F59" s="56"/>
      <c r="H59" s="40"/>
      <c r="J59" s="29"/>
      <c r="K59" s="53"/>
      <c r="L59" s="27"/>
      <c r="N59" s="27"/>
    </row>
    <row r="60">
      <c r="A60" s="20" t="s">
        <v>143</v>
      </c>
      <c r="B60" s="22"/>
      <c r="C60" s="22"/>
      <c r="D60" s="23"/>
      <c r="E60" s="24"/>
      <c r="F60" s="24"/>
      <c r="G60" s="23"/>
      <c r="H60" s="23"/>
      <c r="J60" s="23"/>
      <c r="K60" s="24"/>
      <c r="L60" s="24"/>
      <c r="M60" s="23"/>
      <c r="N60" s="23"/>
      <c r="O60" s="23"/>
      <c r="P60" s="23"/>
      <c r="Q60" s="23"/>
      <c r="R60" s="23"/>
      <c r="S60" s="23"/>
      <c r="T60" s="23"/>
      <c r="U60" s="23"/>
      <c r="V60" s="23"/>
      <c r="W60" s="23"/>
      <c r="X60" s="23"/>
      <c r="Y60" s="23"/>
      <c r="Z60" s="23"/>
      <c r="AA60" s="23"/>
      <c r="AB60" s="23"/>
    </row>
    <row r="61">
      <c r="A61" s="47" t="s">
        <v>144</v>
      </c>
      <c r="B61" s="48"/>
      <c r="C61" s="48"/>
      <c r="D61" s="51">
        <f t="shared" ref="D61:H61" si="6">D17^2*(D51+2*sum(D53:D57))/(D51^2-D17^2*D58^2)</f>
        <v>18491.71029</v>
      </c>
      <c r="E61" s="51">
        <f t="shared" si="6"/>
        <v>22332.03093</v>
      </c>
      <c r="F61" s="51">
        <f t="shared" si="6"/>
        <v>51495.89102</v>
      </c>
      <c r="G61" s="51" t="str">
        <f t="shared" si="6"/>
        <v>#DIV/0!</v>
      </c>
      <c r="H61" s="51" t="str">
        <f t="shared" si="6"/>
        <v>#DIV/0!</v>
      </c>
      <c r="I61" s="26"/>
      <c r="J61" s="51">
        <f t="shared" ref="J61:N61" si="7">J17^2*(J51+2*sum(J53:J57))/(J51^2-J17^2*J58^2)</f>
        <v>145242.9061</v>
      </c>
      <c r="K61" s="51">
        <f t="shared" si="7"/>
        <v>47841.32615</v>
      </c>
      <c r="L61" s="51">
        <f t="shared" si="7"/>
        <v>459652.8127</v>
      </c>
      <c r="M61" s="51" t="str">
        <f t="shared" si="7"/>
        <v>#DIV/0!</v>
      </c>
      <c r="N61" s="51" t="str">
        <f t="shared" si="7"/>
        <v>#DIV/0!</v>
      </c>
      <c r="O61" s="26"/>
      <c r="P61" s="28"/>
      <c r="Q61" s="28"/>
      <c r="R61" s="28"/>
      <c r="S61" s="28"/>
      <c r="T61" s="28"/>
      <c r="U61" s="28"/>
    </row>
    <row r="62">
      <c r="A62" s="47" t="s">
        <v>145</v>
      </c>
      <c r="B62" s="50"/>
      <c r="C62" s="50"/>
      <c r="D62" s="54">
        <f t="shared" ref="D62:H62" si="8">D17^2*(sum(D53:D57))/(D51^2-D17^2*D58^2)</f>
        <v>8532.352016</v>
      </c>
      <c r="E62" s="54">
        <f t="shared" si="8"/>
        <v>10430.91021</v>
      </c>
      <c r="F62" s="54">
        <f t="shared" si="8"/>
        <v>25002.84365</v>
      </c>
      <c r="G62" s="54" t="str">
        <f t="shared" si="8"/>
        <v>#DIV/0!</v>
      </c>
      <c r="H62" s="54" t="str">
        <f t="shared" si="8"/>
        <v>#DIV/0!</v>
      </c>
      <c r="I62" s="55"/>
      <c r="J62" s="54">
        <f t="shared" ref="J62:N62" si="9">J17^2*(sum(J53:J57))/(J51^2-J17^2*J58^2)</f>
        <v>71575.56126</v>
      </c>
      <c r="K62" s="54">
        <f t="shared" si="9"/>
        <v>23012.77301</v>
      </c>
      <c r="L62" s="54">
        <f t="shared" si="9"/>
        <v>228655.7024</v>
      </c>
      <c r="M62" s="54" t="str">
        <f t="shared" si="9"/>
        <v>#DIV/0!</v>
      </c>
      <c r="N62" s="54" t="str">
        <f t="shared" si="9"/>
        <v>#DIV/0!</v>
      </c>
      <c r="O62" s="45"/>
      <c r="P62" s="45"/>
      <c r="Q62" s="45"/>
      <c r="R62" s="45"/>
      <c r="S62" s="45"/>
      <c r="T62" s="45"/>
      <c r="U62" s="45"/>
      <c r="V62" s="45"/>
      <c r="W62" s="45"/>
      <c r="X62" s="45"/>
      <c r="Y62" s="45"/>
      <c r="Z62" s="45"/>
      <c r="AA62" s="45"/>
      <c r="AB62" s="45"/>
    </row>
    <row r="63">
      <c r="A63" s="1" t="s">
        <v>146</v>
      </c>
      <c r="B63" s="8" t="s">
        <v>147</v>
      </c>
      <c r="C63" s="8" t="s">
        <v>56</v>
      </c>
      <c r="D63" s="13">
        <v>18491.67</v>
      </c>
      <c r="E63" s="12">
        <v>10430.9101265355</v>
      </c>
      <c r="F63" s="13">
        <v>25017.88154079</v>
      </c>
      <c r="H63" s="40"/>
      <c r="J63" s="13">
        <v>145242.9</v>
      </c>
      <c r="K63" s="12">
        <v>23012.7796014414</v>
      </c>
      <c r="L63" s="13">
        <v>228655.77840693</v>
      </c>
      <c r="N63" s="40"/>
    </row>
    <row r="64">
      <c r="A64" s="1" t="s">
        <v>149</v>
      </c>
      <c r="B64" s="8" t="s">
        <v>150</v>
      </c>
      <c r="C64" s="8" t="s">
        <v>56</v>
      </c>
      <c r="D64" s="13">
        <v>28590.74</v>
      </c>
      <c r="E64" s="12">
        <v>19754.001139189</v>
      </c>
      <c r="F64" s="13">
        <v>33297.87866079</v>
      </c>
      <c r="H64" s="40"/>
      <c r="J64" s="13">
        <v>168017.0</v>
      </c>
      <c r="K64" s="12">
        <v>33594.0575615855</v>
      </c>
      <c r="L64" s="13">
        <v>236935.77552693</v>
      </c>
      <c r="N64" s="40"/>
    </row>
    <row r="65">
      <c r="B65" s="28"/>
      <c r="C65" s="28"/>
      <c r="E65" s="55"/>
      <c r="F65" s="55"/>
      <c r="K65" s="55"/>
      <c r="L65" s="55"/>
    </row>
    <row r="66">
      <c r="B66" s="28"/>
      <c r="C66" s="28"/>
      <c r="D66" s="55">
        <f>D63/60/60</f>
        <v>5.136575</v>
      </c>
      <c r="E66" s="55"/>
      <c r="F66" s="55"/>
      <c r="K66" s="55"/>
      <c r="L66" s="55"/>
    </row>
    <row r="67">
      <c r="B67" s="28"/>
      <c r="C67" s="28"/>
      <c r="E67" s="55"/>
      <c r="F67" s="55"/>
      <c r="K67" s="55"/>
      <c r="L67" s="55"/>
    </row>
    <row r="68">
      <c r="B68" s="28"/>
      <c r="C68" s="28"/>
      <c r="E68" s="55"/>
      <c r="F68" s="55"/>
      <c r="K68" s="55"/>
      <c r="L68" s="55"/>
    </row>
    <row r="69">
      <c r="B69" s="28"/>
      <c r="C69" s="28"/>
      <c r="E69" s="55"/>
      <c r="F69" s="55"/>
      <c r="K69" s="55"/>
      <c r="L69" s="55"/>
    </row>
    <row r="70">
      <c r="B70" s="28"/>
      <c r="C70" s="28"/>
      <c r="E70" s="55"/>
      <c r="F70" s="55"/>
      <c r="K70" s="55"/>
      <c r="L70" s="55"/>
    </row>
    <row r="71">
      <c r="B71" s="28"/>
      <c r="C71" s="28"/>
      <c r="E71" s="55"/>
      <c r="F71" s="55"/>
      <c r="K71" s="55"/>
      <c r="L71" s="55"/>
    </row>
    <row r="72">
      <c r="B72" s="28"/>
      <c r="C72" s="28"/>
      <c r="E72" s="55"/>
      <c r="F72" s="55"/>
      <c r="K72" s="55"/>
      <c r="L72" s="55"/>
    </row>
    <row r="73">
      <c r="B73" s="28"/>
      <c r="C73" s="28"/>
      <c r="E73" s="55"/>
      <c r="F73" s="55"/>
      <c r="K73" s="55"/>
      <c r="L73" s="55"/>
    </row>
    <row r="74">
      <c r="B74" s="28"/>
      <c r="C74" s="28"/>
      <c r="E74" s="55"/>
      <c r="F74" s="55"/>
      <c r="K74" s="55"/>
      <c r="L74" s="55"/>
    </row>
    <row r="75">
      <c r="B75" s="28"/>
      <c r="C75" s="28"/>
      <c r="E75" s="55"/>
      <c r="F75" s="55"/>
      <c r="K75" s="55"/>
      <c r="L75" s="55"/>
    </row>
    <row r="76">
      <c r="B76" s="28"/>
      <c r="C76" s="28"/>
      <c r="E76" s="55"/>
      <c r="F76" s="55"/>
      <c r="K76" s="55"/>
      <c r="L76" s="55"/>
    </row>
    <row r="77">
      <c r="B77" s="28"/>
      <c r="C77" s="28"/>
      <c r="E77" s="55"/>
      <c r="F77" s="55"/>
      <c r="K77" s="55"/>
      <c r="L77" s="55"/>
    </row>
    <row r="78">
      <c r="B78" s="28"/>
      <c r="C78" s="28"/>
      <c r="E78" s="55"/>
      <c r="F78" s="55"/>
      <c r="K78" s="55"/>
      <c r="L78" s="55"/>
    </row>
    <row r="79">
      <c r="B79" s="28"/>
      <c r="C79" s="28"/>
      <c r="E79" s="55"/>
      <c r="F79" s="55"/>
      <c r="K79" s="55"/>
      <c r="L79" s="55"/>
    </row>
    <row r="80">
      <c r="B80" s="28"/>
      <c r="C80" s="28"/>
      <c r="E80" s="55"/>
      <c r="F80" s="55"/>
      <c r="K80" s="55"/>
      <c r="L80" s="55"/>
    </row>
    <row r="81">
      <c r="B81" s="28"/>
      <c r="C81" s="28"/>
      <c r="E81" s="55"/>
      <c r="F81" s="55"/>
      <c r="K81" s="55"/>
      <c r="L81" s="55"/>
    </row>
    <row r="82">
      <c r="B82" s="28"/>
      <c r="C82" s="28"/>
      <c r="E82" s="55"/>
      <c r="F82" s="55"/>
      <c r="K82" s="55"/>
      <c r="L82" s="55"/>
    </row>
    <row r="83">
      <c r="B83" s="28"/>
      <c r="C83" s="28"/>
      <c r="E83" s="55"/>
      <c r="F83" s="55"/>
      <c r="K83" s="55"/>
      <c r="L83" s="55"/>
    </row>
    <row r="84">
      <c r="B84" s="28"/>
      <c r="C84" s="28"/>
      <c r="E84" s="55"/>
      <c r="F84" s="55"/>
      <c r="K84" s="55"/>
      <c r="L84" s="55"/>
    </row>
    <row r="85">
      <c r="B85" s="28"/>
      <c r="C85" s="28"/>
      <c r="E85" s="55"/>
      <c r="F85" s="55"/>
      <c r="K85" s="55"/>
      <c r="L85" s="55"/>
    </row>
    <row r="86">
      <c r="B86" s="28"/>
      <c r="C86" s="28"/>
      <c r="E86" s="55"/>
      <c r="F86" s="55"/>
      <c r="K86" s="55"/>
      <c r="L86" s="55"/>
    </row>
    <row r="87">
      <c r="B87" s="28"/>
      <c r="C87" s="28"/>
      <c r="E87" s="55"/>
      <c r="F87" s="55"/>
      <c r="K87" s="55"/>
      <c r="L87" s="55"/>
    </row>
    <row r="88">
      <c r="B88" s="28"/>
      <c r="C88" s="28"/>
      <c r="E88" s="55"/>
      <c r="F88" s="55"/>
      <c r="K88" s="55"/>
      <c r="L88" s="55"/>
    </row>
    <row r="89">
      <c r="B89" s="28"/>
      <c r="C89" s="28"/>
      <c r="E89" s="55"/>
      <c r="F89" s="55"/>
      <c r="K89" s="55"/>
      <c r="L89" s="55"/>
    </row>
    <row r="90">
      <c r="B90" s="28"/>
      <c r="C90" s="28"/>
      <c r="E90" s="55"/>
      <c r="F90" s="55"/>
      <c r="K90" s="55"/>
      <c r="L90" s="55"/>
    </row>
    <row r="91">
      <c r="B91" s="28"/>
      <c r="C91" s="28"/>
      <c r="E91" s="55"/>
      <c r="F91" s="55"/>
      <c r="K91" s="55"/>
      <c r="L91" s="55"/>
    </row>
    <row r="92">
      <c r="B92" s="28"/>
      <c r="C92" s="28"/>
      <c r="E92" s="55"/>
      <c r="F92" s="55"/>
      <c r="K92" s="55"/>
      <c r="L92" s="55"/>
    </row>
    <row r="93">
      <c r="B93" s="28"/>
      <c r="C93" s="28"/>
      <c r="E93" s="55"/>
      <c r="F93" s="55"/>
      <c r="K93" s="55"/>
      <c r="L93" s="55"/>
    </row>
    <row r="94">
      <c r="B94" s="28"/>
      <c r="C94" s="28"/>
      <c r="E94" s="55"/>
      <c r="F94" s="55"/>
      <c r="K94" s="55"/>
      <c r="L94" s="55"/>
    </row>
    <row r="95">
      <c r="B95" s="28"/>
      <c r="C95" s="28"/>
      <c r="E95" s="55"/>
      <c r="F95" s="55"/>
      <c r="K95" s="55"/>
      <c r="L95" s="55"/>
    </row>
    <row r="96">
      <c r="B96" s="28"/>
      <c r="C96" s="28"/>
      <c r="E96" s="55"/>
      <c r="F96" s="55"/>
      <c r="K96" s="55"/>
      <c r="L96" s="55"/>
    </row>
    <row r="97">
      <c r="B97" s="28"/>
      <c r="C97" s="28"/>
      <c r="E97" s="55"/>
      <c r="F97" s="55"/>
      <c r="K97" s="55"/>
      <c r="L97" s="55"/>
    </row>
    <row r="98">
      <c r="B98" s="28"/>
      <c r="C98" s="28"/>
      <c r="E98" s="55"/>
      <c r="F98" s="55"/>
      <c r="K98" s="55"/>
      <c r="L98" s="55"/>
    </row>
    <row r="99">
      <c r="B99" s="28"/>
      <c r="C99" s="28"/>
      <c r="E99" s="55"/>
      <c r="F99" s="55"/>
      <c r="K99" s="55"/>
      <c r="L99" s="55"/>
    </row>
    <row r="100">
      <c r="B100" s="28"/>
      <c r="C100" s="28"/>
      <c r="E100" s="55"/>
      <c r="F100" s="55"/>
      <c r="K100" s="55"/>
      <c r="L100" s="55"/>
    </row>
    <row r="101">
      <c r="B101" s="28"/>
      <c r="C101" s="28"/>
      <c r="E101" s="55"/>
      <c r="F101" s="55"/>
      <c r="K101" s="55"/>
      <c r="L101" s="55"/>
    </row>
    <row r="102">
      <c r="B102" s="28"/>
      <c r="C102" s="28"/>
      <c r="E102" s="55"/>
      <c r="F102" s="55"/>
      <c r="K102" s="55"/>
      <c r="L102" s="55"/>
    </row>
    <row r="103">
      <c r="B103" s="28"/>
      <c r="C103" s="28"/>
      <c r="E103" s="55"/>
      <c r="F103" s="55"/>
      <c r="K103" s="55"/>
      <c r="L103" s="55"/>
    </row>
    <row r="104">
      <c r="B104" s="28"/>
      <c r="C104" s="28"/>
      <c r="E104" s="55"/>
      <c r="F104" s="55"/>
      <c r="K104" s="55"/>
      <c r="L104" s="55"/>
    </row>
    <row r="105">
      <c r="B105" s="28"/>
      <c r="C105" s="28"/>
      <c r="E105" s="55"/>
      <c r="F105" s="55"/>
      <c r="K105" s="55"/>
      <c r="L105" s="55"/>
    </row>
    <row r="106">
      <c r="B106" s="28"/>
      <c r="C106" s="28"/>
      <c r="E106" s="55"/>
      <c r="F106" s="55"/>
      <c r="K106" s="55"/>
      <c r="L106" s="55"/>
    </row>
    <row r="107">
      <c r="B107" s="28"/>
      <c r="C107" s="28"/>
      <c r="E107" s="55"/>
      <c r="F107" s="55"/>
      <c r="K107" s="55"/>
      <c r="L107" s="55"/>
    </row>
    <row r="108">
      <c r="B108" s="28"/>
      <c r="C108" s="28"/>
      <c r="E108" s="55"/>
      <c r="F108" s="55"/>
      <c r="K108" s="55"/>
      <c r="L108" s="55"/>
    </row>
    <row r="109">
      <c r="B109" s="28"/>
      <c r="C109" s="28"/>
      <c r="E109" s="55"/>
      <c r="F109" s="55"/>
      <c r="K109" s="55"/>
      <c r="L109" s="55"/>
    </row>
    <row r="110">
      <c r="B110" s="28"/>
      <c r="C110" s="28"/>
      <c r="E110" s="55"/>
      <c r="F110" s="55"/>
      <c r="K110" s="55"/>
      <c r="L110" s="55"/>
    </row>
    <row r="111">
      <c r="B111" s="28"/>
      <c r="C111" s="28"/>
      <c r="E111" s="55"/>
      <c r="F111" s="55"/>
      <c r="K111" s="55"/>
      <c r="L111" s="55"/>
    </row>
    <row r="112">
      <c r="B112" s="28"/>
      <c r="C112" s="28"/>
      <c r="E112" s="55"/>
      <c r="F112" s="55"/>
      <c r="K112" s="55"/>
      <c r="L112" s="55"/>
    </row>
    <row r="113">
      <c r="B113" s="28"/>
      <c r="C113" s="28"/>
      <c r="E113" s="55"/>
      <c r="F113" s="55"/>
      <c r="K113" s="55"/>
      <c r="L113" s="55"/>
    </row>
    <row r="114">
      <c r="B114" s="28"/>
      <c r="C114" s="28"/>
      <c r="E114" s="55"/>
      <c r="F114" s="55"/>
      <c r="K114" s="55"/>
      <c r="L114" s="55"/>
    </row>
    <row r="115">
      <c r="B115" s="28"/>
      <c r="C115" s="28"/>
      <c r="E115" s="55"/>
      <c r="F115" s="55"/>
      <c r="K115" s="55"/>
      <c r="L115" s="55"/>
    </row>
    <row r="116">
      <c r="B116" s="28"/>
      <c r="C116" s="28"/>
      <c r="E116" s="55"/>
      <c r="F116" s="55"/>
      <c r="K116" s="55"/>
      <c r="L116" s="55"/>
    </row>
    <row r="117">
      <c r="B117" s="28"/>
      <c r="C117" s="28"/>
      <c r="E117" s="55"/>
      <c r="F117" s="55"/>
      <c r="K117" s="55"/>
      <c r="L117" s="55"/>
    </row>
    <row r="118">
      <c r="B118" s="28"/>
      <c r="C118" s="28"/>
      <c r="E118" s="55"/>
      <c r="F118" s="55"/>
      <c r="K118" s="55"/>
      <c r="L118" s="55"/>
    </row>
    <row r="119">
      <c r="B119" s="28"/>
      <c r="C119" s="28"/>
      <c r="E119" s="55"/>
      <c r="F119" s="55"/>
      <c r="K119" s="55"/>
      <c r="L119" s="55"/>
    </row>
    <row r="120">
      <c r="B120" s="28"/>
      <c r="C120" s="28"/>
      <c r="E120" s="55"/>
      <c r="F120" s="55"/>
      <c r="K120" s="55"/>
      <c r="L120" s="55"/>
    </row>
    <row r="121">
      <c r="B121" s="28"/>
      <c r="C121" s="28"/>
      <c r="E121" s="55"/>
      <c r="F121" s="55"/>
      <c r="K121" s="55"/>
      <c r="L121" s="55"/>
    </row>
    <row r="122">
      <c r="B122" s="28"/>
      <c r="C122" s="28"/>
      <c r="E122" s="55"/>
      <c r="F122" s="55"/>
      <c r="K122" s="55"/>
      <c r="L122" s="55"/>
    </row>
    <row r="123">
      <c r="B123" s="28"/>
      <c r="C123" s="28"/>
      <c r="E123" s="55"/>
      <c r="F123" s="55"/>
      <c r="K123" s="55"/>
      <c r="L123" s="55"/>
    </row>
    <row r="124">
      <c r="B124" s="28"/>
      <c r="C124" s="28"/>
      <c r="E124" s="55"/>
      <c r="F124" s="55"/>
      <c r="K124" s="55"/>
      <c r="L124" s="55"/>
    </row>
    <row r="125">
      <c r="B125" s="28"/>
      <c r="C125" s="28"/>
      <c r="E125" s="55"/>
      <c r="F125" s="55"/>
      <c r="K125" s="55"/>
      <c r="L125" s="55"/>
    </row>
    <row r="126">
      <c r="B126" s="28"/>
      <c r="C126" s="28"/>
      <c r="E126" s="55"/>
      <c r="F126" s="55"/>
      <c r="K126" s="55"/>
      <c r="L126" s="55"/>
    </row>
    <row r="127">
      <c r="B127" s="28"/>
      <c r="C127" s="28"/>
      <c r="E127" s="55"/>
      <c r="F127" s="55"/>
      <c r="K127" s="55"/>
      <c r="L127" s="55"/>
    </row>
    <row r="128">
      <c r="B128" s="28"/>
      <c r="C128" s="28"/>
      <c r="E128" s="55"/>
      <c r="F128" s="55"/>
      <c r="K128" s="55"/>
      <c r="L128" s="55"/>
    </row>
    <row r="129">
      <c r="B129" s="28"/>
      <c r="C129" s="28"/>
      <c r="E129" s="55"/>
      <c r="F129" s="55"/>
      <c r="K129" s="55"/>
      <c r="L129" s="55"/>
    </row>
    <row r="130">
      <c r="B130" s="28"/>
      <c r="C130" s="28"/>
      <c r="E130" s="55"/>
      <c r="F130" s="55"/>
      <c r="K130" s="55"/>
      <c r="L130" s="55"/>
    </row>
    <row r="131">
      <c r="B131" s="28"/>
      <c r="C131" s="28"/>
      <c r="E131" s="55"/>
      <c r="F131" s="55"/>
      <c r="K131" s="55"/>
      <c r="L131" s="55"/>
    </row>
    <row r="132">
      <c r="B132" s="28"/>
      <c r="C132" s="28"/>
      <c r="E132" s="55"/>
      <c r="F132" s="55"/>
      <c r="K132" s="55"/>
      <c r="L132" s="55"/>
    </row>
    <row r="133">
      <c r="B133" s="28"/>
      <c r="C133" s="28"/>
      <c r="E133" s="55"/>
      <c r="F133" s="55"/>
      <c r="K133" s="55"/>
      <c r="L133" s="55"/>
    </row>
    <row r="134">
      <c r="B134" s="28"/>
      <c r="C134" s="28"/>
      <c r="E134" s="55"/>
      <c r="F134" s="55"/>
      <c r="K134" s="55"/>
      <c r="L134" s="55"/>
    </row>
    <row r="135">
      <c r="B135" s="28"/>
      <c r="C135" s="28"/>
      <c r="E135" s="55"/>
      <c r="F135" s="55"/>
      <c r="K135" s="55"/>
      <c r="L135" s="55"/>
    </row>
    <row r="136">
      <c r="B136" s="28"/>
      <c r="C136" s="28"/>
      <c r="E136" s="55"/>
      <c r="F136" s="55"/>
      <c r="K136" s="55"/>
      <c r="L136" s="55"/>
    </row>
    <row r="137">
      <c r="B137" s="28"/>
      <c r="C137" s="28"/>
      <c r="E137" s="55"/>
      <c r="F137" s="55"/>
      <c r="K137" s="55"/>
      <c r="L137" s="55"/>
    </row>
    <row r="138">
      <c r="B138" s="28"/>
      <c r="C138" s="28"/>
      <c r="E138" s="55"/>
      <c r="F138" s="55"/>
      <c r="K138" s="55"/>
      <c r="L138" s="55"/>
    </row>
    <row r="139">
      <c r="B139" s="28"/>
      <c r="C139" s="28"/>
      <c r="E139" s="55"/>
      <c r="F139" s="55"/>
      <c r="K139" s="55"/>
      <c r="L139" s="55"/>
    </row>
    <row r="140">
      <c r="B140" s="28"/>
      <c r="C140" s="28"/>
      <c r="E140" s="55"/>
      <c r="F140" s="55"/>
      <c r="K140" s="55"/>
      <c r="L140" s="55"/>
    </row>
    <row r="141">
      <c r="B141" s="28"/>
      <c r="C141" s="28"/>
      <c r="E141" s="55"/>
      <c r="F141" s="55"/>
      <c r="K141" s="55"/>
      <c r="L141" s="55"/>
    </row>
    <row r="142">
      <c r="B142" s="28"/>
      <c r="C142" s="28"/>
      <c r="E142" s="55"/>
      <c r="F142" s="55"/>
      <c r="K142" s="55"/>
      <c r="L142" s="55"/>
    </row>
    <row r="143">
      <c r="B143" s="28"/>
      <c r="C143" s="28"/>
      <c r="E143" s="55"/>
      <c r="F143" s="55"/>
      <c r="K143" s="55"/>
      <c r="L143" s="55"/>
    </row>
    <row r="144">
      <c r="B144" s="28"/>
      <c r="C144" s="28"/>
      <c r="E144" s="55"/>
      <c r="F144" s="55"/>
      <c r="K144" s="55"/>
      <c r="L144" s="55"/>
    </row>
    <row r="145">
      <c r="B145" s="28"/>
      <c r="C145" s="28"/>
      <c r="E145" s="55"/>
      <c r="F145" s="55"/>
      <c r="K145" s="55"/>
      <c r="L145" s="55"/>
    </row>
    <row r="146">
      <c r="B146" s="28"/>
      <c r="C146" s="28"/>
      <c r="E146" s="55"/>
      <c r="F146" s="55"/>
      <c r="K146" s="55"/>
      <c r="L146" s="55"/>
    </row>
    <row r="147">
      <c r="B147" s="28"/>
      <c r="C147" s="28"/>
      <c r="E147" s="55"/>
      <c r="F147" s="55"/>
      <c r="K147" s="55"/>
      <c r="L147" s="55"/>
    </row>
    <row r="148">
      <c r="B148" s="28"/>
      <c r="C148" s="28"/>
      <c r="E148" s="55"/>
      <c r="F148" s="55"/>
      <c r="K148" s="55"/>
      <c r="L148" s="55"/>
    </row>
    <row r="149">
      <c r="B149" s="28"/>
      <c r="C149" s="28"/>
      <c r="E149" s="55"/>
      <c r="F149" s="55"/>
      <c r="K149" s="55"/>
      <c r="L149" s="55"/>
    </row>
    <row r="150">
      <c r="B150" s="28"/>
      <c r="C150" s="28"/>
      <c r="E150" s="55"/>
      <c r="F150" s="55"/>
      <c r="K150" s="55"/>
      <c r="L150" s="55"/>
    </row>
    <row r="151">
      <c r="B151" s="28"/>
      <c r="C151" s="28"/>
      <c r="E151" s="55"/>
      <c r="F151" s="55"/>
      <c r="K151" s="55"/>
      <c r="L151" s="55"/>
    </row>
    <row r="152">
      <c r="B152" s="28"/>
      <c r="C152" s="28"/>
      <c r="E152" s="55"/>
      <c r="F152" s="55"/>
      <c r="K152" s="55"/>
      <c r="L152" s="55"/>
    </row>
    <row r="153">
      <c r="B153" s="28"/>
      <c r="C153" s="28"/>
      <c r="E153" s="55"/>
      <c r="F153" s="55"/>
      <c r="K153" s="55"/>
      <c r="L153" s="55"/>
    </row>
    <row r="154">
      <c r="B154" s="28"/>
      <c r="C154" s="28"/>
      <c r="E154" s="55"/>
      <c r="F154" s="55"/>
      <c r="K154" s="55"/>
      <c r="L154" s="55"/>
    </row>
    <row r="155">
      <c r="B155" s="28"/>
      <c r="C155" s="28"/>
      <c r="E155" s="55"/>
      <c r="F155" s="55"/>
      <c r="K155" s="55"/>
      <c r="L155" s="55"/>
    </row>
    <row r="156">
      <c r="B156" s="28"/>
      <c r="C156" s="28"/>
      <c r="E156" s="55"/>
      <c r="F156" s="55"/>
      <c r="K156" s="55"/>
      <c r="L156" s="55"/>
    </row>
    <row r="157">
      <c r="B157" s="28"/>
      <c r="C157" s="28"/>
      <c r="E157" s="55"/>
      <c r="F157" s="55"/>
      <c r="K157" s="55"/>
      <c r="L157" s="55"/>
    </row>
    <row r="158">
      <c r="B158" s="28"/>
      <c r="C158" s="28"/>
      <c r="E158" s="55"/>
      <c r="F158" s="55"/>
      <c r="K158" s="55"/>
      <c r="L158" s="55"/>
    </row>
    <row r="159">
      <c r="B159" s="28"/>
      <c r="C159" s="28"/>
      <c r="E159" s="55"/>
      <c r="F159" s="55"/>
      <c r="K159" s="55"/>
      <c r="L159" s="55"/>
    </row>
    <row r="160">
      <c r="B160" s="28"/>
      <c r="C160" s="28"/>
      <c r="E160" s="55"/>
      <c r="F160" s="55"/>
      <c r="K160" s="55"/>
      <c r="L160" s="55"/>
    </row>
    <row r="161">
      <c r="B161" s="28"/>
      <c r="C161" s="28"/>
      <c r="E161" s="55"/>
      <c r="F161" s="55"/>
      <c r="K161" s="55"/>
      <c r="L161" s="55"/>
    </row>
    <row r="162">
      <c r="B162" s="28"/>
      <c r="C162" s="28"/>
      <c r="E162" s="55"/>
      <c r="F162" s="55"/>
      <c r="K162" s="55"/>
      <c r="L162" s="55"/>
    </row>
    <row r="163">
      <c r="B163" s="28"/>
      <c r="C163" s="28"/>
      <c r="E163" s="55"/>
      <c r="F163" s="55"/>
      <c r="K163" s="55"/>
      <c r="L163" s="55"/>
    </row>
    <row r="164">
      <c r="B164" s="28"/>
      <c r="C164" s="28"/>
      <c r="E164" s="55"/>
      <c r="F164" s="55"/>
      <c r="K164" s="55"/>
      <c r="L164" s="55"/>
    </row>
    <row r="165">
      <c r="B165" s="28"/>
      <c r="C165" s="28"/>
      <c r="E165" s="55"/>
      <c r="F165" s="55"/>
      <c r="K165" s="55"/>
      <c r="L165" s="55"/>
    </row>
    <row r="166">
      <c r="B166" s="28"/>
      <c r="C166" s="28"/>
      <c r="E166" s="55"/>
      <c r="F166" s="55"/>
      <c r="K166" s="55"/>
      <c r="L166" s="55"/>
    </row>
    <row r="167">
      <c r="B167" s="28"/>
      <c r="C167" s="28"/>
      <c r="E167" s="55"/>
      <c r="F167" s="55"/>
      <c r="K167" s="55"/>
      <c r="L167" s="55"/>
    </row>
    <row r="168">
      <c r="B168" s="28"/>
      <c r="C168" s="28"/>
      <c r="E168" s="55"/>
      <c r="F168" s="55"/>
      <c r="K168" s="55"/>
      <c r="L168" s="55"/>
    </row>
    <row r="169">
      <c r="B169" s="28"/>
      <c r="C169" s="28"/>
      <c r="E169" s="55"/>
      <c r="F169" s="55"/>
      <c r="K169" s="55"/>
      <c r="L169" s="55"/>
    </row>
    <row r="170">
      <c r="B170" s="28"/>
      <c r="C170" s="28"/>
      <c r="E170" s="55"/>
      <c r="F170" s="55"/>
      <c r="K170" s="55"/>
      <c r="L170" s="55"/>
    </row>
    <row r="171">
      <c r="B171" s="28"/>
      <c r="C171" s="28"/>
      <c r="E171" s="55"/>
      <c r="F171" s="55"/>
      <c r="K171" s="55"/>
      <c r="L171" s="55"/>
    </row>
    <row r="172">
      <c r="B172" s="28"/>
      <c r="C172" s="28"/>
      <c r="E172" s="55"/>
      <c r="F172" s="55"/>
      <c r="K172" s="55"/>
      <c r="L172" s="55"/>
    </row>
    <row r="173">
      <c r="B173" s="28"/>
      <c r="C173" s="28"/>
      <c r="E173" s="55"/>
      <c r="F173" s="55"/>
      <c r="K173" s="55"/>
      <c r="L173" s="55"/>
    </row>
    <row r="174">
      <c r="B174" s="28"/>
      <c r="C174" s="28"/>
      <c r="E174" s="55"/>
      <c r="F174" s="55"/>
      <c r="K174" s="55"/>
      <c r="L174" s="55"/>
    </row>
    <row r="175">
      <c r="B175" s="28"/>
      <c r="C175" s="28"/>
      <c r="E175" s="55"/>
      <c r="F175" s="55"/>
      <c r="K175" s="55"/>
      <c r="L175" s="55"/>
    </row>
    <row r="176">
      <c r="B176" s="28"/>
      <c r="C176" s="28"/>
      <c r="E176" s="55"/>
      <c r="F176" s="55"/>
      <c r="K176" s="55"/>
      <c r="L176" s="55"/>
    </row>
    <row r="177">
      <c r="B177" s="28"/>
      <c r="C177" s="28"/>
      <c r="E177" s="55"/>
      <c r="F177" s="55"/>
      <c r="K177" s="55"/>
      <c r="L177" s="55"/>
    </row>
    <row r="178">
      <c r="B178" s="28"/>
      <c r="C178" s="28"/>
      <c r="E178" s="55"/>
      <c r="F178" s="55"/>
      <c r="K178" s="55"/>
      <c r="L178" s="55"/>
    </row>
    <row r="179">
      <c r="B179" s="28"/>
      <c r="C179" s="28"/>
      <c r="E179" s="55"/>
      <c r="F179" s="55"/>
      <c r="K179" s="55"/>
      <c r="L179" s="55"/>
    </row>
    <row r="180">
      <c r="B180" s="28"/>
      <c r="C180" s="28"/>
      <c r="E180" s="55"/>
      <c r="F180" s="55"/>
      <c r="K180" s="55"/>
      <c r="L180" s="55"/>
    </row>
    <row r="181">
      <c r="B181" s="28"/>
      <c r="C181" s="28"/>
      <c r="E181" s="55"/>
      <c r="F181" s="55"/>
      <c r="K181" s="55"/>
      <c r="L181" s="55"/>
    </row>
    <row r="182">
      <c r="B182" s="28"/>
      <c r="C182" s="28"/>
      <c r="E182" s="55"/>
      <c r="F182" s="55"/>
      <c r="K182" s="55"/>
      <c r="L182" s="55"/>
    </row>
    <row r="183">
      <c r="B183" s="28"/>
      <c r="C183" s="28"/>
      <c r="E183" s="55"/>
      <c r="F183" s="55"/>
      <c r="K183" s="55"/>
      <c r="L183" s="55"/>
    </row>
    <row r="184">
      <c r="B184" s="28"/>
      <c r="C184" s="28"/>
      <c r="E184" s="55"/>
      <c r="F184" s="55"/>
      <c r="K184" s="55"/>
      <c r="L184" s="55"/>
    </row>
    <row r="185">
      <c r="B185" s="28"/>
      <c r="C185" s="28"/>
      <c r="E185" s="55"/>
      <c r="F185" s="55"/>
      <c r="K185" s="55"/>
      <c r="L185" s="55"/>
    </row>
    <row r="186">
      <c r="B186" s="28"/>
      <c r="C186" s="28"/>
      <c r="E186" s="55"/>
      <c r="F186" s="55"/>
      <c r="K186" s="55"/>
      <c r="L186" s="55"/>
    </row>
    <row r="187">
      <c r="B187" s="28"/>
      <c r="C187" s="28"/>
      <c r="E187" s="55"/>
      <c r="F187" s="55"/>
      <c r="K187" s="55"/>
      <c r="L187" s="55"/>
    </row>
    <row r="188">
      <c r="B188" s="28"/>
      <c r="C188" s="28"/>
      <c r="E188" s="55"/>
      <c r="F188" s="55"/>
      <c r="K188" s="55"/>
      <c r="L188" s="55"/>
    </row>
    <row r="189">
      <c r="B189" s="28"/>
      <c r="C189" s="28"/>
      <c r="E189" s="55"/>
      <c r="F189" s="55"/>
      <c r="K189" s="55"/>
      <c r="L189" s="55"/>
    </row>
    <row r="190">
      <c r="B190" s="28"/>
      <c r="C190" s="28"/>
      <c r="E190" s="55"/>
      <c r="F190" s="55"/>
      <c r="K190" s="55"/>
      <c r="L190" s="55"/>
    </row>
    <row r="191">
      <c r="B191" s="28"/>
      <c r="C191" s="28"/>
      <c r="E191" s="55"/>
      <c r="F191" s="55"/>
      <c r="K191" s="55"/>
      <c r="L191" s="55"/>
    </row>
    <row r="192">
      <c r="B192" s="28"/>
      <c r="C192" s="28"/>
      <c r="E192" s="55"/>
      <c r="F192" s="55"/>
      <c r="K192" s="55"/>
      <c r="L192" s="55"/>
    </row>
    <row r="193">
      <c r="B193" s="28"/>
      <c r="C193" s="28"/>
      <c r="E193" s="55"/>
      <c r="F193" s="55"/>
      <c r="K193" s="55"/>
      <c r="L193" s="55"/>
    </row>
    <row r="194">
      <c r="B194" s="28"/>
      <c r="C194" s="28"/>
      <c r="E194" s="55"/>
      <c r="F194" s="55"/>
      <c r="K194" s="55"/>
      <c r="L194" s="55"/>
    </row>
    <row r="195">
      <c r="B195" s="28"/>
      <c r="C195" s="28"/>
      <c r="E195" s="55"/>
      <c r="F195" s="55"/>
      <c r="K195" s="55"/>
      <c r="L195" s="55"/>
    </row>
    <row r="196">
      <c r="B196" s="28"/>
      <c r="C196" s="28"/>
      <c r="E196" s="55"/>
      <c r="F196" s="55"/>
      <c r="K196" s="55"/>
      <c r="L196" s="55"/>
    </row>
    <row r="197">
      <c r="B197" s="28"/>
      <c r="C197" s="28"/>
      <c r="E197" s="55"/>
      <c r="F197" s="55"/>
      <c r="K197" s="55"/>
      <c r="L197" s="55"/>
    </row>
    <row r="198">
      <c r="B198" s="28"/>
      <c r="C198" s="28"/>
      <c r="E198" s="55"/>
      <c r="F198" s="55"/>
      <c r="K198" s="55"/>
      <c r="L198" s="55"/>
    </row>
    <row r="199">
      <c r="B199" s="28"/>
      <c r="C199" s="28"/>
      <c r="E199" s="55"/>
      <c r="F199" s="55"/>
      <c r="K199" s="55"/>
      <c r="L199" s="55"/>
    </row>
    <row r="200">
      <c r="B200" s="28"/>
      <c r="C200" s="28"/>
      <c r="E200" s="55"/>
      <c r="F200" s="55"/>
      <c r="K200" s="55"/>
      <c r="L200" s="55"/>
    </row>
    <row r="201">
      <c r="B201" s="28"/>
      <c r="C201" s="28"/>
      <c r="E201" s="55"/>
      <c r="F201" s="55"/>
      <c r="K201" s="55"/>
      <c r="L201" s="55"/>
    </row>
    <row r="202">
      <c r="B202" s="28"/>
      <c r="C202" s="28"/>
      <c r="E202" s="55"/>
      <c r="F202" s="55"/>
      <c r="K202" s="55"/>
      <c r="L202" s="55"/>
    </row>
    <row r="203">
      <c r="B203" s="28"/>
      <c r="C203" s="28"/>
      <c r="E203" s="55"/>
      <c r="F203" s="55"/>
      <c r="K203" s="55"/>
      <c r="L203" s="55"/>
    </row>
    <row r="204">
      <c r="B204" s="28"/>
      <c r="C204" s="28"/>
      <c r="E204" s="55"/>
      <c r="F204" s="55"/>
      <c r="K204" s="55"/>
      <c r="L204" s="55"/>
    </row>
    <row r="205">
      <c r="B205" s="28"/>
      <c r="C205" s="28"/>
      <c r="E205" s="55"/>
      <c r="F205" s="55"/>
      <c r="K205" s="55"/>
      <c r="L205" s="55"/>
    </row>
    <row r="206">
      <c r="B206" s="28"/>
      <c r="C206" s="28"/>
      <c r="E206" s="55"/>
      <c r="F206" s="55"/>
      <c r="K206" s="55"/>
      <c r="L206" s="55"/>
    </row>
    <row r="207">
      <c r="B207" s="28"/>
      <c r="C207" s="28"/>
      <c r="E207" s="55"/>
      <c r="F207" s="55"/>
      <c r="K207" s="55"/>
      <c r="L207" s="55"/>
    </row>
    <row r="208">
      <c r="B208" s="28"/>
      <c r="C208" s="28"/>
      <c r="E208" s="55"/>
      <c r="F208" s="55"/>
      <c r="K208" s="55"/>
      <c r="L208" s="55"/>
    </row>
    <row r="209">
      <c r="B209" s="28"/>
      <c r="C209" s="28"/>
      <c r="E209" s="55"/>
      <c r="F209" s="55"/>
      <c r="K209" s="55"/>
      <c r="L209" s="55"/>
    </row>
    <row r="210">
      <c r="B210" s="28"/>
      <c r="C210" s="28"/>
      <c r="E210" s="55"/>
      <c r="F210" s="55"/>
      <c r="K210" s="55"/>
      <c r="L210" s="55"/>
    </row>
    <row r="211">
      <c r="B211" s="28"/>
      <c r="C211" s="28"/>
      <c r="E211" s="55"/>
      <c r="F211" s="55"/>
      <c r="K211" s="55"/>
      <c r="L211" s="55"/>
    </row>
    <row r="212">
      <c r="B212" s="28"/>
      <c r="C212" s="28"/>
      <c r="E212" s="55"/>
      <c r="F212" s="55"/>
      <c r="K212" s="55"/>
      <c r="L212" s="55"/>
    </row>
    <row r="213">
      <c r="B213" s="28"/>
      <c r="C213" s="28"/>
      <c r="E213" s="55"/>
      <c r="F213" s="55"/>
      <c r="K213" s="55"/>
      <c r="L213" s="55"/>
    </row>
    <row r="214">
      <c r="B214" s="28"/>
      <c r="C214" s="28"/>
      <c r="E214" s="55"/>
      <c r="F214" s="55"/>
      <c r="K214" s="55"/>
      <c r="L214" s="55"/>
    </row>
    <row r="215">
      <c r="B215" s="28"/>
      <c r="C215" s="28"/>
      <c r="E215" s="55"/>
      <c r="F215" s="55"/>
      <c r="K215" s="55"/>
      <c r="L215" s="55"/>
    </row>
    <row r="216">
      <c r="B216" s="28"/>
      <c r="C216" s="28"/>
      <c r="E216" s="55"/>
      <c r="F216" s="55"/>
      <c r="K216" s="55"/>
      <c r="L216" s="55"/>
    </row>
    <row r="217">
      <c r="B217" s="28"/>
      <c r="C217" s="28"/>
      <c r="E217" s="55"/>
      <c r="F217" s="55"/>
      <c r="K217" s="55"/>
      <c r="L217" s="55"/>
    </row>
    <row r="218">
      <c r="B218" s="28"/>
      <c r="C218" s="28"/>
      <c r="E218" s="55"/>
      <c r="F218" s="55"/>
      <c r="K218" s="55"/>
      <c r="L218" s="55"/>
    </row>
    <row r="219">
      <c r="B219" s="28"/>
      <c r="C219" s="28"/>
      <c r="E219" s="55"/>
      <c r="F219" s="55"/>
      <c r="K219" s="55"/>
      <c r="L219" s="55"/>
    </row>
    <row r="220">
      <c r="B220" s="28"/>
      <c r="C220" s="28"/>
      <c r="E220" s="55"/>
      <c r="F220" s="55"/>
      <c r="K220" s="55"/>
      <c r="L220" s="55"/>
    </row>
    <row r="221">
      <c r="B221" s="28"/>
      <c r="C221" s="28"/>
      <c r="E221" s="55"/>
      <c r="F221" s="55"/>
      <c r="K221" s="55"/>
      <c r="L221" s="55"/>
    </row>
    <row r="222">
      <c r="B222" s="28"/>
      <c r="C222" s="28"/>
      <c r="E222" s="55"/>
      <c r="F222" s="55"/>
      <c r="K222" s="55"/>
      <c r="L222" s="55"/>
    </row>
    <row r="223">
      <c r="B223" s="28"/>
      <c r="C223" s="28"/>
      <c r="E223" s="55"/>
      <c r="F223" s="55"/>
      <c r="K223" s="55"/>
      <c r="L223" s="55"/>
    </row>
    <row r="224">
      <c r="B224" s="28"/>
      <c r="C224" s="28"/>
      <c r="E224" s="55"/>
      <c r="F224" s="55"/>
      <c r="K224" s="55"/>
      <c r="L224" s="55"/>
    </row>
    <row r="225">
      <c r="B225" s="28"/>
      <c r="C225" s="28"/>
      <c r="E225" s="55"/>
      <c r="F225" s="55"/>
      <c r="K225" s="55"/>
      <c r="L225" s="55"/>
    </row>
    <row r="226">
      <c r="B226" s="28"/>
      <c r="C226" s="28"/>
      <c r="E226" s="55"/>
      <c r="F226" s="55"/>
      <c r="K226" s="55"/>
      <c r="L226" s="55"/>
    </row>
    <row r="227">
      <c r="B227" s="28"/>
      <c r="C227" s="28"/>
      <c r="E227" s="55"/>
      <c r="F227" s="55"/>
      <c r="K227" s="55"/>
      <c r="L227" s="55"/>
    </row>
    <row r="228">
      <c r="B228" s="28"/>
      <c r="C228" s="28"/>
      <c r="E228" s="55"/>
      <c r="F228" s="55"/>
      <c r="K228" s="55"/>
      <c r="L228" s="55"/>
    </row>
    <row r="229">
      <c r="B229" s="28"/>
      <c r="C229" s="28"/>
      <c r="E229" s="55"/>
      <c r="F229" s="55"/>
      <c r="K229" s="55"/>
      <c r="L229" s="55"/>
    </row>
    <row r="230">
      <c r="B230" s="28"/>
      <c r="C230" s="28"/>
      <c r="E230" s="55"/>
      <c r="F230" s="55"/>
      <c r="K230" s="55"/>
      <c r="L230" s="55"/>
    </row>
    <row r="231">
      <c r="B231" s="28"/>
      <c r="C231" s="28"/>
      <c r="E231" s="55"/>
      <c r="F231" s="55"/>
      <c r="K231" s="55"/>
      <c r="L231" s="55"/>
    </row>
    <row r="232">
      <c r="B232" s="28"/>
      <c r="C232" s="28"/>
      <c r="E232" s="55"/>
      <c r="F232" s="55"/>
      <c r="K232" s="55"/>
      <c r="L232" s="55"/>
    </row>
    <row r="233">
      <c r="B233" s="28"/>
      <c r="C233" s="28"/>
      <c r="E233" s="55"/>
      <c r="F233" s="55"/>
      <c r="K233" s="55"/>
      <c r="L233" s="55"/>
    </row>
    <row r="234">
      <c r="B234" s="28"/>
      <c r="C234" s="28"/>
      <c r="E234" s="55"/>
      <c r="F234" s="55"/>
      <c r="K234" s="55"/>
      <c r="L234" s="55"/>
    </row>
    <row r="235">
      <c r="B235" s="28"/>
      <c r="C235" s="28"/>
      <c r="E235" s="55"/>
      <c r="F235" s="55"/>
      <c r="K235" s="55"/>
      <c r="L235" s="55"/>
    </row>
    <row r="236">
      <c r="B236" s="28"/>
      <c r="C236" s="28"/>
      <c r="E236" s="55"/>
      <c r="F236" s="55"/>
      <c r="K236" s="55"/>
      <c r="L236" s="55"/>
    </row>
    <row r="237">
      <c r="B237" s="28"/>
      <c r="C237" s="28"/>
      <c r="E237" s="55"/>
      <c r="F237" s="55"/>
      <c r="K237" s="55"/>
      <c r="L237" s="55"/>
    </row>
    <row r="238">
      <c r="B238" s="28"/>
      <c r="C238" s="28"/>
      <c r="E238" s="55"/>
      <c r="F238" s="55"/>
      <c r="K238" s="55"/>
      <c r="L238" s="55"/>
    </row>
    <row r="239">
      <c r="B239" s="28"/>
      <c r="C239" s="28"/>
      <c r="E239" s="55"/>
      <c r="F239" s="55"/>
      <c r="K239" s="55"/>
      <c r="L239" s="55"/>
    </row>
    <row r="240">
      <c r="B240" s="28"/>
      <c r="C240" s="28"/>
      <c r="E240" s="55"/>
      <c r="F240" s="55"/>
      <c r="K240" s="55"/>
      <c r="L240" s="55"/>
    </row>
    <row r="241">
      <c r="B241" s="28"/>
      <c r="C241" s="28"/>
      <c r="E241" s="55"/>
      <c r="F241" s="55"/>
      <c r="K241" s="55"/>
      <c r="L241" s="55"/>
    </row>
    <row r="242">
      <c r="B242" s="28"/>
      <c r="C242" s="28"/>
      <c r="E242" s="55"/>
      <c r="F242" s="55"/>
      <c r="K242" s="55"/>
      <c r="L242" s="55"/>
    </row>
    <row r="243">
      <c r="B243" s="28"/>
      <c r="C243" s="28"/>
      <c r="E243" s="55"/>
      <c r="F243" s="55"/>
      <c r="K243" s="55"/>
      <c r="L243" s="55"/>
    </row>
    <row r="244">
      <c r="B244" s="28"/>
      <c r="C244" s="28"/>
      <c r="E244" s="55"/>
      <c r="F244" s="55"/>
      <c r="K244" s="55"/>
      <c r="L244" s="55"/>
    </row>
    <row r="245">
      <c r="B245" s="28"/>
      <c r="C245" s="28"/>
      <c r="E245" s="55"/>
      <c r="F245" s="55"/>
      <c r="K245" s="55"/>
      <c r="L245" s="55"/>
    </row>
    <row r="246">
      <c r="B246" s="28"/>
      <c r="C246" s="28"/>
      <c r="E246" s="55"/>
      <c r="F246" s="55"/>
      <c r="K246" s="55"/>
      <c r="L246" s="55"/>
    </row>
    <row r="247">
      <c r="B247" s="28"/>
      <c r="C247" s="28"/>
      <c r="E247" s="55"/>
      <c r="F247" s="55"/>
      <c r="K247" s="55"/>
      <c r="L247" s="55"/>
    </row>
    <row r="248">
      <c r="B248" s="28"/>
      <c r="C248" s="28"/>
      <c r="E248" s="55"/>
      <c r="F248" s="55"/>
      <c r="K248" s="55"/>
      <c r="L248" s="55"/>
    </row>
    <row r="249">
      <c r="B249" s="28"/>
      <c r="C249" s="28"/>
      <c r="E249" s="55"/>
      <c r="F249" s="55"/>
      <c r="K249" s="55"/>
      <c r="L249" s="55"/>
    </row>
    <row r="250">
      <c r="B250" s="28"/>
      <c r="C250" s="28"/>
      <c r="E250" s="55"/>
      <c r="F250" s="55"/>
      <c r="K250" s="55"/>
      <c r="L250" s="55"/>
    </row>
    <row r="251">
      <c r="B251" s="28"/>
      <c r="C251" s="28"/>
      <c r="E251" s="55"/>
      <c r="F251" s="55"/>
      <c r="K251" s="55"/>
      <c r="L251" s="55"/>
    </row>
    <row r="252">
      <c r="B252" s="28"/>
      <c r="C252" s="28"/>
      <c r="E252" s="55"/>
      <c r="F252" s="55"/>
      <c r="K252" s="55"/>
      <c r="L252" s="55"/>
    </row>
    <row r="253">
      <c r="B253" s="28"/>
      <c r="C253" s="28"/>
      <c r="E253" s="55"/>
      <c r="F253" s="55"/>
      <c r="K253" s="55"/>
      <c r="L253" s="55"/>
    </row>
    <row r="254">
      <c r="B254" s="28"/>
      <c r="C254" s="28"/>
      <c r="E254" s="55"/>
      <c r="F254" s="55"/>
      <c r="K254" s="55"/>
      <c r="L254" s="55"/>
    </row>
    <row r="255">
      <c r="B255" s="28"/>
      <c r="C255" s="28"/>
      <c r="E255" s="55"/>
      <c r="F255" s="55"/>
      <c r="K255" s="55"/>
      <c r="L255" s="55"/>
    </row>
    <row r="256">
      <c r="B256" s="28"/>
      <c r="C256" s="28"/>
      <c r="E256" s="55"/>
      <c r="F256" s="55"/>
      <c r="K256" s="55"/>
      <c r="L256" s="55"/>
    </row>
    <row r="257">
      <c r="B257" s="28"/>
      <c r="C257" s="28"/>
      <c r="E257" s="55"/>
      <c r="F257" s="55"/>
      <c r="K257" s="55"/>
      <c r="L257" s="55"/>
    </row>
    <row r="258">
      <c r="B258" s="28"/>
      <c r="C258" s="28"/>
      <c r="E258" s="55"/>
      <c r="F258" s="55"/>
      <c r="K258" s="55"/>
      <c r="L258" s="55"/>
    </row>
    <row r="259">
      <c r="B259" s="28"/>
      <c r="C259" s="28"/>
      <c r="E259" s="55"/>
      <c r="F259" s="55"/>
      <c r="K259" s="55"/>
      <c r="L259" s="55"/>
    </row>
    <row r="260">
      <c r="B260" s="28"/>
      <c r="C260" s="28"/>
      <c r="E260" s="55"/>
      <c r="F260" s="55"/>
      <c r="K260" s="55"/>
      <c r="L260" s="55"/>
    </row>
    <row r="261">
      <c r="B261" s="28"/>
      <c r="C261" s="28"/>
      <c r="E261" s="55"/>
      <c r="F261" s="55"/>
      <c r="K261" s="55"/>
      <c r="L261" s="55"/>
    </row>
    <row r="262">
      <c r="B262" s="28"/>
      <c r="C262" s="28"/>
      <c r="E262" s="55"/>
      <c r="F262" s="55"/>
      <c r="K262" s="55"/>
      <c r="L262" s="55"/>
    </row>
    <row r="263">
      <c r="B263" s="28"/>
      <c r="C263" s="28"/>
      <c r="E263" s="55"/>
      <c r="F263" s="55"/>
      <c r="K263" s="55"/>
      <c r="L263" s="55"/>
    </row>
    <row r="264">
      <c r="B264" s="28"/>
      <c r="C264" s="28"/>
      <c r="E264" s="55"/>
      <c r="F264" s="55"/>
      <c r="K264" s="55"/>
      <c r="L264" s="55"/>
    </row>
    <row r="265">
      <c r="B265" s="28"/>
      <c r="C265" s="28"/>
      <c r="E265" s="55"/>
      <c r="F265" s="55"/>
      <c r="K265" s="55"/>
      <c r="L265" s="55"/>
    </row>
    <row r="266">
      <c r="B266" s="28"/>
      <c r="C266" s="28"/>
      <c r="E266" s="55"/>
      <c r="F266" s="55"/>
      <c r="K266" s="55"/>
      <c r="L266" s="55"/>
    </row>
    <row r="267">
      <c r="B267" s="28"/>
      <c r="C267" s="28"/>
      <c r="E267" s="55"/>
      <c r="F267" s="55"/>
      <c r="K267" s="55"/>
      <c r="L267" s="55"/>
    </row>
    <row r="268">
      <c r="B268" s="28"/>
      <c r="C268" s="28"/>
      <c r="E268" s="55"/>
      <c r="F268" s="55"/>
      <c r="K268" s="55"/>
      <c r="L268" s="55"/>
    </row>
    <row r="269">
      <c r="B269" s="28"/>
      <c r="C269" s="28"/>
      <c r="E269" s="55"/>
      <c r="F269" s="55"/>
      <c r="K269" s="55"/>
      <c r="L269" s="55"/>
    </row>
    <row r="270">
      <c r="B270" s="28"/>
      <c r="C270" s="28"/>
      <c r="E270" s="55"/>
      <c r="F270" s="55"/>
      <c r="K270" s="55"/>
      <c r="L270" s="55"/>
    </row>
    <row r="271">
      <c r="B271" s="28"/>
      <c r="C271" s="28"/>
      <c r="E271" s="55"/>
      <c r="F271" s="55"/>
      <c r="K271" s="55"/>
      <c r="L271" s="55"/>
    </row>
    <row r="272">
      <c r="B272" s="28"/>
      <c r="C272" s="28"/>
      <c r="E272" s="55"/>
      <c r="F272" s="55"/>
      <c r="K272" s="55"/>
      <c r="L272" s="55"/>
    </row>
    <row r="273">
      <c r="B273" s="28"/>
      <c r="C273" s="28"/>
      <c r="E273" s="55"/>
      <c r="F273" s="55"/>
      <c r="K273" s="55"/>
      <c r="L273" s="55"/>
    </row>
    <row r="274">
      <c r="B274" s="28"/>
      <c r="C274" s="28"/>
      <c r="E274" s="55"/>
      <c r="F274" s="55"/>
      <c r="K274" s="55"/>
      <c r="L274" s="55"/>
    </row>
    <row r="275">
      <c r="B275" s="28"/>
      <c r="C275" s="28"/>
      <c r="E275" s="55"/>
      <c r="F275" s="55"/>
      <c r="K275" s="55"/>
      <c r="L275" s="55"/>
    </row>
    <row r="276">
      <c r="B276" s="28"/>
      <c r="C276" s="28"/>
      <c r="E276" s="55"/>
      <c r="F276" s="55"/>
      <c r="K276" s="55"/>
      <c r="L276" s="55"/>
    </row>
    <row r="277">
      <c r="B277" s="28"/>
      <c r="C277" s="28"/>
      <c r="E277" s="55"/>
      <c r="F277" s="55"/>
      <c r="K277" s="55"/>
      <c r="L277" s="55"/>
    </row>
    <row r="278">
      <c r="B278" s="28"/>
      <c r="C278" s="28"/>
      <c r="E278" s="55"/>
      <c r="F278" s="55"/>
      <c r="K278" s="55"/>
      <c r="L278" s="55"/>
    </row>
    <row r="279">
      <c r="B279" s="28"/>
      <c r="C279" s="28"/>
      <c r="E279" s="55"/>
      <c r="F279" s="55"/>
      <c r="K279" s="55"/>
      <c r="L279" s="55"/>
    </row>
    <row r="280">
      <c r="B280" s="28"/>
      <c r="C280" s="28"/>
      <c r="E280" s="55"/>
      <c r="F280" s="55"/>
      <c r="K280" s="55"/>
      <c r="L280" s="55"/>
    </row>
    <row r="281">
      <c r="B281" s="28"/>
      <c r="C281" s="28"/>
      <c r="E281" s="55"/>
      <c r="F281" s="55"/>
      <c r="K281" s="55"/>
      <c r="L281" s="55"/>
    </row>
    <row r="282">
      <c r="B282" s="28"/>
      <c r="C282" s="28"/>
      <c r="E282" s="55"/>
      <c r="F282" s="55"/>
      <c r="K282" s="55"/>
      <c r="L282" s="55"/>
    </row>
    <row r="283">
      <c r="B283" s="28"/>
      <c r="C283" s="28"/>
      <c r="E283" s="55"/>
      <c r="F283" s="55"/>
      <c r="K283" s="55"/>
      <c r="L283" s="55"/>
    </row>
    <row r="284">
      <c r="B284" s="28"/>
      <c r="C284" s="28"/>
      <c r="E284" s="55"/>
      <c r="F284" s="55"/>
      <c r="K284" s="55"/>
      <c r="L284" s="55"/>
    </row>
    <row r="285">
      <c r="B285" s="28"/>
      <c r="C285" s="28"/>
      <c r="E285" s="55"/>
      <c r="F285" s="55"/>
      <c r="K285" s="55"/>
      <c r="L285" s="55"/>
    </row>
    <row r="286">
      <c r="B286" s="28"/>
      <c r="C286" s="28"/>
      <c r="E286" s="55"/>
      <c r="F286" s="55"/>
      <c r="K286" s="55"/>
      <c r="L286" s="55"/>
    </row>
    <row r="287">
      <c r="B287" s="28"/>
      <c r="C287" s="28"/>
      <c r="E287" s="55"/>
      <c r="F287" s="55"/>
      <c r="K287" s="55"/>
      <c r="L287" s="55"/>
    </row>
    <row r="288">
      <c r="B288" s="28"/>
      <c r="C288" s="28"/>
      <c r="E288" s="55"/>
      <c r="F288" s="55"/>
      <c r="K288" s="55"/>
      <c r="L288" s="55"/>
    </row>
    <row r="289">
      <c r="B289" s="28"/>
      <c r="C289" s="28"/>
      <c r="E289" s="55"/>
      <c r="F289" s="55"/>
      <c r="K289" s="55"/>
      <c r="L289" s="55"/>
    </row>
    <row r="290">
      <c r="B290" s="28"/>
      <c r="C290" s="28"/>
      <c r="E290" s="55"/>
      <c r="F290" s="55"/>
      <c r="K290" s="55"/>
      <c r="L290" s="55"/>
    </row>
    <row r="291">
      <c r="B291" s="28"/>
      <c r="C291" s="28"/>
      <c r="E291" s="55"/>
      <c r="F291" s="55"/>
      <c r="K291" s="55"/>
      <c r="L291" s="55"/>
    </row>
    <row r="292">
      <c r="B292" s="28"/>
      <c r="C292" s="28"/>
      <c r="E292" s="55"/>
      <c r="F292" s="55"/>
      <c r="K292" s="55"/>
      <c r="L292" s="55"/>
    </row>
    <row r="293">
      <c r="B293" s="28"/>
      <c r="C293" s="28"/>
      <c r="E293" s="55"/>
      <c r="F293" s="55"/>
      <c r="K293" s="55"/>
      <c r="L293" s="55"/>
    </row>
    <row r="294">
      <c r="B294" s="28"/>
      <c r="C294" s="28"/>
      <c r="E294" s="55"/>
      <c r="F294" s="55"/>
      <c r="K294" s="55"/>
      <c r="L294" s="55"/>
    </row>
    <row r="295">
      <c r="B295" s="28"/>
      <c r="C295" s="28"/>
      <c r="E295" s="55"/>
      <c r="F295" s="55"/>
      <c r="K295" s="55"/>
      <c r="L295" s="55"/>
    </row>
    <row r="296">
      <c r="B296" s="28"/>
      <c r="C296" s="28"/>
      <c r="E296" s="55"/>
      <c r="F296" s="55"/>
      <c r="K296" s="55"/>
      <c r="L296" s="55"/>
    </row>
    <row r="297">
      <c r="B297" s="28"/>
      <c r="C297" s="28"/>
      <c r="E297" s="55"/>
      <c r="F297" s="55"/>
      <c r="K297" s="55"/>
      <c r="L297" s="55"/>
    </row>
    <row r="298">
      <c r="B298" s="28"/>
      <c r="C298" s="28"/>
      <c r="E298" s="55"/>
      <c r="F298" s="55"/>
      <c r="K298" s="55"/>
      <c r="L298" s="55"/>
    </row>
    <row r="299">
      <c r="B299" s="28"/>
      <c r="C299" s="28"/>
      <c r="E299" s="55"/>
      <c r="F299" s="55"/>
      <c r="K299" s="55"/>
      <c r="L299" s="55"/>
    </row>
    <row r="300">
      <c r="B300" s="28"/>
      <c r="C300" s="28"/>
      <c r="E300" s="55"/>
      <c r="F300" s="55"/>
      <c r="K300" s="55"/>
      <c r="L300" s="55"/>
    </row>
    <row r="301">
      <c r="B301" s="28"/>
      <c r="C301" s="28"/>
      <c r="E301" s="55"/>
      <c r="F301" s="55"/>
      <c r="K301" s="55"/>
      <c r="L301" s="55"/>
    </row>
    <row r="302">
      <c r="B302" s="28"/>
      <c r="C302" s="28"/>
      <c r="E302" s="55"/>
      <c r="F302" s="55"/>
      <c r="K302" s="55"/>
      <c r="L302" s="55"/>
    </row>
    <row r="303">
      <c r="B303" s="28"/>
      <c r="C303" s="28"/>
      <c r="E303" s="55"/>
      <c r="F303" s="55"/>
      <c r="K303" s="55"/>
      <c r="L303" s="55"/>
    </row>
    <row r="304">
      <c r="B304" s="28"/>
      <c r="C304" s="28"/>
      <c r="E304" s="55"/>
      <c r="F304" s="55"/>
      <c r="K304" s="55"/>
      <c r="L304" s="55"/>
    </row>
    <row r="305">
      <c r="B305" s="28"/>
      <c r="C305" s="28"/>
      <c r="E305" s="55"/>
      <c r="F305" s="55"/>
      <c r="K305" s="55"/>
      <c r="L305" s="55"/>
    </row>
    <row r="306">
      <c r="B306" s="28"/>
      <c r="C306" s="28"/>
      <c r="E306" s="55"/>
      <c r="F306" s="55"/>
      <c r="K306" s="55"/>
      <c r="L306" s="55"/>
    </row>
    <row r="307">
      <c r="B307" s="28"/>
      <c r="C307" s="28"/>
      <c r="E307" s="55"/>
      <c r="F307" s="55"/>
      <c r="K307" s="55"/>
      <c r="L307" s="55"/>
    </row>
    <row r="308">
      <c r="B308" s="28"/>
      <c r="C308" s="28"/>
      <c r="E308" s="55"/>
      <c r="F308" s="55"/>
      <c r="K308" s="55"/>
      <c r="L308" s="55"/>
    </row>
    <row r="309">
      <c r="B309" s="28"/>
      <c r="C309" s="28"/>
      <c r="E309" s="55"/>
      <c r="F309" s="55"/>
      <c r="K309" s="55"/>
      <c r="L309" s="55"/>
    </row>
    <row r="310">
      <c r="B310" s="28"/>
      <c r="C310" s="28"/>
      <c r="E310" s="55"/>
      <c r="F310" s="55"/>
      <c r="K310" s="55"/>
      <c r="L310" s="55"/>
    </row>
    <row r="311">
      <c r="B311" s="28"/>
      <c r="C311" s="28"/>
      <c r="E311" s="55"/>
      <c r="F311" s="55"/>
      <c r="K311" s="55"/>
      <c r="L311" s="55"/>
    </row>
    <row r="312">
      <c r="B312" s="28"/>
      <c r="C312" s="28"/>
      <c r="E312" s="55"/>
      <c r="F312" s="55"/>
      <c r="K312" s="55"/>
      <c r="L312" s="55"/>
    </row>
    <row r="313">
      <c r="B313" s="28"/>
      <c r="C313" s="28"/>
      <c r="E313" s="55"/>
      <c r="F313" s="55"/>
      <c r="K313" s="55"/>
      <c r="L313" s="55"/>
    </row>
    <row r="314">
      <c r="B314" s="28"/>
      <c r="C314" s="28"/>
      <c r="E314" s="55"/>
      <c r="F314" s="55"/>
      <c r="K314" s="55"/>
      <c r="L314" s="55"/>
    </row>
    <row r="315">
      <c r="B315" s="28"/>
      <c r="C315" s="28"/>
      <c r="E315" s="55"/>
      <c r="F315" s="55"/>
      <c r="K315" s="55"/>
      <c r="L315" s="55"/>
    </row>
    <row r="316">
      <c r="B316" s="28"/>
      <c r="C316" s="28"/>
      <c r="E316" s="55"/>
      <c r="F316" s="55"/>
      <c r="K316" s="55"/>
      <c r="L316" s="55"/>
    </row>
    <row r="317">
      <c r="B317" s="28"/>
      <c r="C317" s="28"/>
      <c r="E317" s="55"/>
      <c r="F317" s="55"/>
      <c r="K317" s="55"/>
      <c r="L317" s="55"/>
    </row>
    <row r="318">
      <c r="B318" s="28"/>
      <c r="C318" s="28"/>
      <c r="E318" s="55"/>
      <c r="F318" s="55"/>
      <c r="K318" s="55"/>
      <c r="L318" s="55"/>
    </row>
    <row r="319">
      <c r="B319" s="28"/>
      <c r="C319" s="28"/>
      <c r="E319" s="55"/>
      <c r="F319" s="55"/>
      <c r="K319" s="55"/>
      <c r="L319" s="55"/>
    </row>
    <row r="320">
      <c r="B320" s="28"/>
      <c r="C320" s="28"/>
      <c r="E320" s="55"/>
      <c r="F320" s="55"/>
      <c r="K320" s="55"/>
      <c r="L320" s="55"/>
    </row>
    <row r="321">
      <c r="B321" s="28"/>
      <c r="C321" s="28"/>
      <c r="E321" s="55"/>
      <c r="F321" s="55"/>
      <c r="K321" s="55"/>
      <c r="L321" s="55"/>
    </row>
    <row r="322">
      <c r="B322" s="28"/>
      <c r="C322" s="28"/>
      <c r="E322" s="55"/>
      <c r="F322" s="55"/>
      <c r="K322" s="55"/>
      <c r="L322" s="55"/>
    </row>
    <row r="323">
      <c r="B323" s="28"/>
      <c r="C323" s="28"/>
      <c r="E323" s="55"/>
      <c r="F323" s="55"/>
      <c r="K323" s="55"/>
      <c r="L323" s="55"/>
    </row>
    <row r="324">
      <c r="B324" s="28"/>
      <c r="C324" s="28"/>
      <c r="E324" s="55"/>
      <c r="F324" s="55"/>
      <c r="K324" s="55"/>
      <c r="L324" s="55"/>
    </row>
    <row r="325">
      <c r="B325" s="28"/>
      <c r="C325" s="28"/>
      <c r="E325" s="55"/>
      <c r="F325" s="55"/>
      <c r="K325" s="55"/>
      <c r="L325" s="55"/>
    </row>
    <row r="326">
      <c r="B326" s="28"/>
      <c r="C326" s="28"/>
      <c r="E326" s="55"/>
      <c r="F326" s="55"/>
      <c r="K326" s="55"/>
      <c r="L326" s="55"/>
    </row>
    <row r="327">
      <c r="B327" s="28"/>
      <c r="C327" s="28"/>
      <c r="E327" s="55"/>
      <c r="F327" s="55"/>
      <c r="K327" s="55"/>
      <c r="L327" s="55"/>
    </row>
    <row r="328">
      <c r="B328" s="28"/>
      <c r="C328" s="28"/>
      <c r="E328" s="55"/>
      <c r="F328" s="55"/>
      <c r="K328" s="55"/>
      <c r="L328" s="55"/>
    </row>
    <row r="329">
      <c r="B329" s="28"/>
      <c r="C329" s="28"/>
      <c r="E329" s="55"/>
      <c r="F329" s="55"/>
      <c r="K329" s="55"/>
      <c r="L329" s="55"/>
    </row>
    <row r="330">
      <c r="B330" s="28"/>
      <c r="C330" s="28"/>
      <c r="E330" s="55"/>
      <c r="F330" s="55"/>
      <c r="K330" s="55"/>
      <c r="L330" s="55"/>
    </row>
    <row r="331">
      <c r="B331" s="28"/>
      <c r="C331" s="28"/>
      <c r="E331" s="55"/>
      <c r="F331" s="55"/>
      <c r="K331" s="55"/>
      <c r="L331" s="55"/>
    </row>
    <row r="332">
      <c r="B332" s="28"/>
      <c r="C332" s="28"/>
      <c r="E332" s="55"/>
      <c r="F332" s="55"/>
      <c r="K332" s="55"/>
      <c r="L332" s="55"/>
    </row>
    <row r="333">
      <c r="B333" s="28"/>
      <c r="C333" s="28"/>
      <c r="E333" s="55"/>
      <c r="F333" s="55"/>
      <c r="K333" s="55"/>
      <c r="L333" s="55"/>
    </row>
    <row r="334">
      <c r="B334" s="28"/>
      <c r="C334" s="28"/>
      <c r="E334" s="55"/>
      <c r="F334" s="55"/>
      <c r="K334" s="55"/>
      <c r="L334" s="55"/>
    </row>
    <row r="335">
      <c r="B335" s="28"/>
      <c r="C335" s="28"/>
      <c r="E335" s="55"/>
      <c r="F335" s="55"/>
      <c r="K335" s="55"/>
      <c r="L335" s="55"/>
    </row>
    <row r="336">
      <c r="B336" s="28"/>
      <c r="C336" s="28"/>
      <c r="E336" s="55"/>
      <c r="F336" s="55"/>
      <c r="K336" s="55"/>
      <c r="L336" s="55"/>
    </row>
    <row r="337">
      <c r="B337" s="28"/>
      <c r="C337" s="28"/>
      <c r="E337" s="55"/>
      <c r="F337" s="55"/>
      <c r="K337" s="55"/>
      <c r="L337" s="55"/>
    </row>
    <row r="338">
      <c r="B338" s="28"/>
      <c r="C338" s="28"/>
      <c r="E338" s="55"/>
      <c r="F338" s="55"/>
      <c r="K338" s="55"/>
      <c r="L338" s="55"/>
    </row>
    <row r="339">
      <c r="B339" s="28"/>
      <c r="C339" s="28"/>
      <c r="E339" s="55"/>
      <c r="F339" s="55"/>
      <c r="K339" s="55"/>
      <c r="L339" s="55"/>
    </row>
    <row r="340">
      <c r="B340" s="28"/>
      <c r="C340" s="28"/>
      <c r="E340" s="55"/>
      <c r="F340" s="55"/>
      <c r="K340" s="55"/>
      <c r="L340" s="55"/>
    </row>
    <row r="341">
      <c r="B341" s="28"/>
      <c r="C341" s="28"/>
      <c r="E341" s="55"/>
      <c r="F341" s="55"/>
      <c r="K341" s="55"/>
      <c r="L341" s="55"/>
    </row>
    <row r="342">
      <c r="B342" s="28"/>
      <c r="C342" s="28"/>
      <c r="E342" s="55"/>
      <c r="F342" s="55"/>
      <c r="K342" s="55"/>
      <c r="L342" s="55"/>
    </row>
    <row r="343">
      <c r="B343" s="28"/>
      <c r="C343" s="28"/>
      <c r="E343" s="55"/>
      <c r="F343" s="55"/>
      <c r="K343" s="55"/>
      <c r="L343" s="55"/>
    </row>
    <row r="344">
      <c r="B344" s="28"/>
      <c r="C344" s="28"/>
      <c r="E344" s="55"/>
      <c r="F344" s="55"/>
      <c r="K344" s="55"/>
      <c r="L344" s="55"/>
    </row>
    <row r="345">
      <c r="B345" s="28"/>
      <c r="C345" s="28"/>
      <c r="E345" s="55"/>
      <c r="F345" s="55"/>
      <c r="K345" s="55"/>
      <c r="L345" s="55"/>
    </row>
    <row r="346">
      <c r="B346" s="28"/>
      <c r="C346" s="28"/>
      <c r="E346" s="55"/>
      <c r="F346" s="55"/>
      <c r="K346" s="55"/>
      <c r="L346" s="55"/>
    </row>
    <row r="347">
      <c r="B347" s="28"/>
      <c r="C347" s="28"/>
      <c r="E347" s="55"/>
      <c r="F347" s="55"/>
      <c r="K347" s="55"/>
      <c r="L347" s="55"/>
    </row>
    <row r="348">
      <c r="B348" s="28"/>
      <c r="C348" s="28"/>
      <c r="E348" s="55"/>
      <c r="F348" s="55"/>
      <c r="K348" s="55"/>
      <c r="L348" s="55"/>
    </row>
    <row r="349">
      <c r="B349" s="28"/>
      <c r="C349" s="28"/>
      <c r="E349" s="55"/>
      <c r="F349" s="55"/>
      <c r="K349" s="55"/>
      <c r="L349" s="55"/>
    </row>
    <row r="350">
      <c r="B350" s="28"/>
      <c r="C350" s="28"/>
      <c r="E350" s="55"/>
      <c r="F350" s="55"/>
      <c r="K350" s="55"/>
      <c r="L350" s="55"/>
    </row>
    <row r="351">
      <c r="B351" s="28"/>
      <c r="C351" s="28"/>
      <c r="E351" s="55"/>
      <c r="F351" s="55"/>
      <c r="K351" s="55"/>
      <c r="L351" s="55"/>
    </row>
    <row r="352">
      <c r="B352" s="28"/>
      <c r="C352" s="28"/>
      <c r="E352" s="55"/>
      <c r="F352" s="55"/>
      <c r="K352" s="55"/>
      <c r="L352" s="55"/>
    </row>
    <row r="353">
      <c r="B353" s="28"/>
      <c r="C353" s="28"/>
      <c r="E353" s="55"/>
      <c r="F353" s="55"/>
      <c r="K353" s="55"/>
      <c r="L353" s="55"/>
    </row>
    <row r="354">
      <c r="B354" s="28"/>
      <c r="C354" s="28"/>
      <c r="E354" s="55"/>
      <c r="F354" s="55"/>
      <c r="K354" s="55"/>
      <c r="L354" s="55"/>
    </row>
    <row r="355">
      <c r="B355" s="28"/>
      <c r="C355" s="28"/>
      <c r="E355" s="55"/>
      <c r="F355" s="55"/>
      <c r="K355" s="55"/>
      <c r="L355" s="55"/>
    </row>
    <row r="356">
      <c r="B356" s="28"/>
      <c r="C356" s="28"/>
      <c r="E356" s="55"/>
      <c r="F356" s="55"/>
      <c r="K356" s="55"/>
      <c r="L356" s="55"/>
    </row>
    <row r="357">
      <c r="B357" s="28"/>
      <c r="C357" s="28"/>
      <c r="E357" s="55"/>
      <c r="F357" s="55"/>
      <c r="K357" s="55"/>
      <c r="L357" s="55"/>
    </row>
    <row r="358">
      <c r="B358" s="28"/>
      <c r="C358" s="28"/>
      <c r="E358" s="55"/>
      <c r="F358" s="55"/>
      <c r="K358" s="55"/>
      <c r="L358" s="55"/>
    </row>
    <row r="359">
      <c r="B359" s="28"/>
      <c r="C359" s="28"/>
      <c r="E359" s="55"/>
      <c r="F359" s="55"/>
      <c r="K359" s="55"/>
      <c r="L359" s="55"/>
    </row>
    <row r="360">
      <c r="B360" s="28"/>
      <c r="C360" s="28"/>
      <c r="E360" s="55"/>
      <c r="F360" s="55"/>
      <c r="K360" s="55"/>
      <c r="L360" s="55"/>
    </row>
    <row r="361">
      <c r="B361" s="28"/>
      <c r="C361" s="28"/>
      <c r="E361" s="55"/>
      <c r="F361" s="55"/>
      <c r="K361" s="55"/>
      <c r="L361" s="55"/>
    </row>
    <row r="362">
      <c r="B362" s="28"/>
      <c r="C362" s="28"/>
      <c r="E362" s="55"/>
      <c r="F362" s="55"/>
      <c r="K362" s="55"/>
      <c r="L362" s="55"/>
    </row>
    <row r="363">
      <c r="B363" s="28"/>
      <c r="C363" s="28"/>
      <c r="E363" s="55"/>
      <c r="F363" s="55"/>
      <c r="K363" s="55"/>
      <c r="L363" s="55"/>
    </row>
    <row r="364">
      <c r="B364" s="28"/>
      <c r="C364" s="28"/>
      <c r="E364" s="55"/>
      <c r="F364" s="55"/>
      <c r="K364" s="55"/>
      <c r="L364" s="55"/>
    </row>
    <row r="365">
      <c r="B365" s="28"/>
      <c r="C365" s="28"/>
      <c r="E365" s="55"/>
      <c r="F365" s="55"/>
      <c r="K365" s="55"/>
      <c r="L365" s="55"/>
    </row>
    <row r="366">
      <c r="B366" s="28"/>
      <c r="C366" s="28"/>
      <c r="E366" s="55"/>
      <c r="F366" s="55"/>
      <c r="K366" s="55"/>
      <c r="L366" s="55"/>
    </row>
    <row r="367">
      <c r="B367" s="28"/>
      <c r="C367" s="28"/>
      <c r="E367" s="55"/>
      <c r="F367" s="55"/>
      <c r="K367" s="55"/>
      <c r="L367" s="55"/>
    </row>
    <row r="368">
      <c r="B368" s="28"/>
      <c r="C368" s="28"/>
      <c r="E368" s="55"/>
      <c r="F368" s="55"/>
      <c r="K368" s="55"/>
      <c r="L368" s="55"/>
    </row>
    <row r="369">
      <c r="B369" s="28"/>
      <c r="C369" s="28"/>
      <c r="E369" s="55"/>
      <c r="F369" s="55"/>
      <c r="K369" s="55"/>
      <c r="L369" s="55"/>
    </row>
    <row r="370">
      <c r="B370" s="28"/>
      <c r="C370" s="28"/>
      <c r="E370" s="55"/>
      <c r="F370" s="55"/>
      <c r="K370" s="55"/>
      <c r="L370" s="55"/>
    </row>
    <row r="371">
      <c r="B371" s="28"/>
      <c r="C371" s="28"/>
      <c r="E371" s="55"/>
      <c r="F371" s="55"/>
      <c r="K371" s="55"/>
      <c r="L371" s="55"/>
    </row>
    <row r="372">
      <c r="B372" s="28"/>
      <c r="C372" s="28"/>
      <c r="E372" s="55"/>
      <c r="F372" s="55"/>
      <c r="K372" s="55"/>
      <c r="L372" s="55"/>
    </row>
    <row r="373">
      <c r="B373" s="28"/>
      <c r="C373" s="28"/>
      <c r="E373" s="55"/>
      <c r="F373" s="55"/>
      <c r="K373" s="55"/>
      <c r="L373" s="55"/>
    </row>
    <row r="374">
      <c r="B374" s="28"/>
      <c r="C374" s="28"/>
      <c r="E374" s="55"/>
      <c r="F374" s="55"/>
      <c r="K374" s="55"/>
      <c r="L374" s="55"/>
    </row>
    <row r="375">
      <c r="B375" s="28"/>
      <c r="C375" s="28"/>
      <c r="E375" s="55"/>
      <c r="F375" s="55"/>
      <c r="K375" s="55"/>
      <c r="L375" s="55"/>
    </row>
    <row r="376">
      <c r="B376" s="28"/>
      <c r="C376" s="28"/>
      <c r="E376" s="55"/>
      <c r="F376" s="55"/>
      <c r="K376" s="55"/>
      <c r="L376" s="55"/>
    </row>
    <row r="377">
      <c r="B377" s="28"/>
      <c r="C377" s="28"/>
      <c r="E377" s="55"/>
      <c r="F377" s="55"/>
      <c r="K377" s="55"/>
      <c r="L377" s="55"/>
    </row>
    <row r="378">
      <c r="B378" s="28"/>
      <c r="C378" s="28"/>
      <c r="E378" s="55"/>
      <c r="F378" s="55"/>
      <c r="K378" s="55"/>
      <c r="L378" s="55"/>
    </row>
    <row r="379">
      <c r="B379" s="28"/>
      <c r="C379" s="28"/>
      <c r="E379" s="55"/>
      <c r="F379" s="55"/>
      <c r="K379" s="55"/>
      <c r="L379" s="55"/>
    </row>
    <row r="380">
      <c r="B380" s="28"/>
      <c r="C380" s="28"/>
      <c r="E380" s="55"/>
      <c r="F380" s="55"/>
      <c r="K380" s="55"/>
      <c r="L380" s="55"/>
    </row>
    <row r="381">
      <c r="B381" s="28"/>
      <c r="C381" s="28"/>
      <c r="E381" s="55"/>
      <c r="F381" s="55"/>
      <c r="K381" s="55"/>
      <c r="L381" s="55"/>
    </row>
    <row r="382">
      <c r="B382" s="28"/>
      <c r="C382" s="28"/>
      <c r="E382" s="55"/>
      <c r="F382" s="55"/>
      <c r="K382" s="55"/>
      <c r="L382" s="55"/>
    </row>
    <row r="383">
      <c r="B383" s="28"/>
      <c r="C383" s="28"/>
      <c r="E383" s="55"/>
      <c r="F383" s="55"/>
      <c r="K383" s="55"/>
      <c r="L383" s="55"/>
    </row>
    <row r="384">
      <c r="B384" s="28"/>
      <c r="C384" s="28"/>
      <c r="E384" s="55"/>
      <c r="F384" s="55"/>
      <c r="K384" s="55"/>
      <c r="L384" s="55"/>
    </row>
    <row r="385">
      <c r="B385" s="28"/>
      <c r="C385" s="28"/>
      <c r="E385" s="55"/>
      <c r="F385" s="55"/>
      <c r="K385" s="55"/>
      <c r="L385" s="55"/>
    </row>
    <row r="386">
      <c r="B386" s="28"/>
      <c r="C386" s="28"/>
      <c r="E386" s="55"/>
      <c r="F386" s="55"/>
      <c r="K386" s="55"/>
      <c r="L386" s="55"/>
    </row>
    <row r="387">
      <c r="B387" s="28"/>
      <c r="C387" s="28"/>
      <c r="E387" s="55"/>
      <c r="F387" s="55"/>
      <c r="K387" s="55"/>
      <c r="L387" s="55"/>
    </row>
    <row r="388">
      <c r="B388" s="28"/>
      <c r="C388" s="28"/>
      <c r="E388" s="55"/>
      <c r="F388" s="55"/>
      <c r="K388" s="55"/>
      <c r="L388" s="55"/>
    </row>
    <row r="389">
      <c r="B389" s="28"/>
      <c r="C389" s="28"/>
      <c r="E389" s="55"/>
      <c r="F389" s="55"/>
      <c r="K389" s="55"/>
      <c r="L389" s="55"/>
    </row>
    <row r="390">
      <c r="B390" s="28"/>
      <c r="C390" s="28"/>
      <c r="E390" s="55"/>
      <c r="F390" s="55"/>
      <c r="K390" s="55"/>
      <c r="L390" s="55"/>
    </row>
    <row r="391">
      <c r="B391" s="28"/>
      <c r="C391" s="28"/>
      <c r="E391" s="55"/>
      <c r="F391" s="55"/>
      <c r="K391" s="55"/>
      <c r="L391" s="55"/>
    </row>
    <row r="392">
      <c r="B392" s="28"/>
      <c r="C392" s="28"/>
      <c r="E392" s="55"/>
      <c r="F392" s="55"/>
      <c r="K392" s="55"/>
      <c r="L392" s="55"/>
    </row>
    <row r="393">
      <c r="B393" s="28"/>
      <c r="C393" s="28"/>
      <c r="E393" s="55"/>
      <c r="F393" s="55"/>
      <c r="K393" s="55"/>
      <c r="L393" s="55"/>
    </row>
    <row r="394">
      <c r="B394" s="28"/>
      <c r="C394" s="28"/>
      <c r="E394" s="55"/>
      <c r="F394" s="55"/>
      <c r="K394" s="55"/>
      <c r="L394" s="55"/>
    </row>
    <row r="395">
      <c r="B395" s="28"/>
      <c r="C395" s="28"/>
      <c r="E395" s="55"/>
      <c r="F395" s="55"/>
      <c r="K395" s="55"/>
      <c r="L395" s="55"/>
    </row>
    <row r="396">
      <c r="B396" s="28"/>
      <c r="C396" s="28"/>
      <c r="E396" s="55"/>
      <c r="F396" s="55"/>
      <c r="K396" s="55"/>
      <c r="L396" s="55"/>
    </row>
    <row r="397">
      <c r="B397" s="28"/>
      <c r="C397" s="28"/>
      <c r="E397" s="55"/>
      <c r="F397" s="55"/>
      <c r="K397" s="55"/>
      <c r="L397" s="55"/>
    </row>
    <row r="398">
      <c r="B398" s="28"/>
      <c r="C398" s="28"/>
      <c r="E398" s="55"/>
      <c r="F398" s="55"/>
      <c r="K398" s="55"/>
      <c r="L398" s="55"/>
    </row>
    <row r="399">
      <c r="B399" s="28"/>
      <c r="C399" s="28"/>
      <c r="E399" s="55"/>
      <c r="F399" s="55"/>
      <c r="K399" s="55"/>
      <c r="L399" s="55"/>
    </row>
    <row r="400">
      <c r="B400" s="28"/>
      <c r="C400" s="28"/>
      <c r="E400" s="55"/>
      <c r="F400" s="55"/>
      <c r="K400" s="55"/>
      <c r="L400" s="55"/>
    </row>
    <row r="401">
      <c r="B401" s="28"/>
      <c r="C401" s="28"/>
      <c r="E401" s="55"/>
      <c r="F401" s="55"/>
      <c r="K401" s="55"/>
      <c r="L401" s="55"/>
    </row>
    <row r="402">
      <c r="B402" s="28"/>
      <c r="C402" s="28"/>
      <c r="E402" s="55"/>
      <c r="F402" s="55"/>
      <c r="K402" s="55"/>
      <c r="L402" s="55"/>
    </row>
    <row r="403">
      <c r="B403" s="28"/>
      <c r="C403" s="28"/>
      <c r="E403" s="55"/>
      <c r="F403" s="55"/>
      <c r="K403" s="55"/>
      <c r="L403" s="55"/>
    </row>
    <row r="404">
      <c r="B404" s="28"/>
      <c r="C404" s="28"/>
      <c r="E404" s="55"/>
      <c r="F404" s="55"/>
      <c r="K404" s="55"/>
      <c r="L404" s="55"/>
    </row>
    <row r="405">
      <c r="B405" s="28"/>
      <c r="C405" s="28"/>
      <c r="E405" s="55"/>
      <c r="F405" s="55"/>
      <c r="K405" s="55"/>
      <c r="L405" s="55"/>
    </row>
    <row r="406">
      <c r="B406" s="28"/>
      <c r="C406" s="28"/>
      <c r="E406" s="55"/>
      <c r="F406" s="55"/>
      <c r="K406" s="55"/>
      <c r="L406" s="55"/>
    </row>
    <row r="407">
      <c r="B407" s="28"/>
      <c r="C407" s="28"/>
      <c r="E407" s="55"/>
      <c r="F407" s="55"/>
      <c r="K407" s="55"/>
      <c r="L407" s="55"/>
    </row>
    <row r="408">
      <c r="B408" s="28"/>
      <c r="C408" s="28"/>
      <c r="E408" s="55"/>
      <c r="F408" s="55"/>
      <c r="K408" s="55"/>
      <c r="L408" s="55"/>
    </row>
    <row r="409">
      <c r="B409" s="28"/>
      <c r="C409" s="28"/>
      <c r="E409" s="55"/>
      <c r="F409" s="55"/>
      <c r="K409" s="55"/>
      <c r="L409" s="55"/>
    </row>
    <row r="410">
      <c r="B410" s="28"/>
      <c r="C410" s="28"/>
      <c r="E410" s="55"/>
      <c r="F410" s="55"/>
      <c r="K410" s="55"/>
      <c r="L410" s="55"/>
    </row>
    <row r="411">
      <c r="B411" s="28"/>
      <c r="C411" s="28"/>
      <c r="E411" s="55"/>
      <c r="F411" s="55"/>
      <c r="K411" s="55"/>
      <c r="L411" s="55"/>
    </row>
    <row r="412">
      <c r="B412" s="28"/>
      <c r="C412" s="28"/>
      <c r="E412" s="55"/>
      <c r="F412" s="55"/>
      <c r="K412" s="55"/>
      <c r="L412" s="55"/>
    </row>
    <row r="413">
      <c r="B413" s="28"/>
      <c r="C413" s="28"/>
      <c r="E413" s="55"/>
      <c r="F413" s="55"/>
      <c r="K413" s="55"/>
      <c r="L413" s="55"/>
    </row>
    <row r="414">
      <c r="B414" s="28"/>
      <c r="C414" s="28"/>
      <c r="E414" s="55"/>
      <c r="F414" s="55"/>
      <c r="K414" s="55"/>
      <c r="L414" s="55"/>
    </row>
    <row r="415">
      <c r="B415" s="28"/>
      <c r="C415" s="28"/>
      <c r="E415" s="55"/>
      <c r="F415" s="55"/>
      <c r="K415" s="55"/>
      <c r="L415" s="55"/>
    </row>
    <row r="416">
      <c r="B416" s="28"/>
      <c r="C416" s="28"/>
      <c r="E416" s="55"/>
      <c r="F416" s="55"/>
      <c r="K416" s="55"/>
      <c r="L416" s="55"/>
    </row>
    <row r="417">
      <c r="B417" s="28"/>
      <c r="C417" s="28"/>
      <c r="E417" s="55"/>
      <c r="F417" s="55"/>
      <c r="K417" s="55"/>
      <c r="L417" s="55"/>
    </row>
    <row r="418">
      <c r="B418" s="28"/>
      <c r="C418" s="28"/>
      <c r="E418" s="55"/>
      <c r="F418" s="55"/>
      <c r="K418" s="55"/>
      <c r="L418" s="55"/>
    </row>
    <row r="419">
      <c r="B419" s="28"/>
      <c r="C419" s="28"/>
      <c r="E419" s="55"/>
      <c r="F419" s="55"/>
      <c r="K419" s="55"/>
      <c r="L419" s="55"/>
    </row>
    <row r="420">
      <c r="B420" s="28"/>
      <c r="C420" s="28"/>
      <c r="E420" s="55"/>
      <c r="F420" s="55"/>
      <c r="K420" s="55"/>
      <c r="L420" s="55"/>
    </row>
    <row r="421">
      <c r="B421" s="28"/>
      <c r="C421" s="28"/>
      <c r="E421" s="55"/>
      <c r="F421" s="55"/>
      <c r="K421" s="55"/>
      <c r="L421" s="55"/>
    </row>
    <row r="422">
      <c r="B422" s="28"/>
      <c r="C422" s="28"/>
      <c r="E422" s="55"/>
      <c r="F422" s="55"/>
      <c r="K422" s="55"/>
      <c r="L422" s="55"/>
    </row>
    <row r="423">
      <c r="B423" s="28"/>
      <c r="C423" s="28"/>
      <c r="E423" s="55"/>
      <c r="F423" s="55"/>
      <c r="K423" s="55"/>
      <c r="L423" s="55"/>
    </row>
    <row r="424">
      <c r="B424" s="28"/>
      <c r="C424" s="28"/>
      <c r="E424" s="55"/>
      <c r="F424" s="55"/>
      <c r="K424" s="55"/>
      <c r="L424" s="55"/>
    </row>
    <row r="425">
      <c r="B425" s="28"/>
      <c r="C425" s="28"/>
      <c r="E425" s="55"/>
      <c r="F425" s="55"/>
      <c r="K425" s="55"/>
      <c r="L425" s="55"/>
    </row>
    <row r="426">
      <c r="B426" s="28"/>
      <c r="C426" s="28"/>
      <c r="E426" s="55"/>
      <c r="F426" s="55"/>
      <c r="K426" s="55"/>
      <c r="L426" s="55"/>
    </row>
    <row r="427">
      <c r="B427" s="28"/>
      <c r="C427" s="28"/>
      <c r="E427" s="55"/>
      <c r="F427" s="55"/>
      <c r="K427" s="55"/>
      <c r="L427" s="55"/>
    </row>
    <row r="428">
      <c r="B428" s="28"/>
      <c r="C428" s="28"/>
      <c r="E428" s="55"/>
      <c r="F428" s="55"/>
      <c r="K428" s="55"/>
      <c r="L428" s="55"/>
    </row>
    <row r="429">
      <c r="B429" s="28"/>
      <c r="C429" s="28"/>
      <c r="E429" s="55"/>
      <c r="F429" s="55"/>
      <c r="K429" s="55"/>
      <c r="L429" s="55"/>
    </row>
    <row r="430">
      <c r="B430" s="28"/>
      <c r="C430" s="28"/>
      <c r="E430" s="55"/>
      <c r="F430" s="55"/>
      <c r="K430" s="55"/>
      <c r="L430" s="55"/>
    </row>
    <row r="431">
      <c r="B431" s="28"/>
      <c r="C431" s="28"/>
      <c r="E431" s="55"/>
      <c r="F431" s="55"/>
      <c r="K431" s="55"/>
      <c r="L431" s="55"/>
    </row>
    <row r="432">
      <c r="B432" s="28"/>
      <c r="C432" s="28"/>
      <c r="E432" s="55"/>
      <c r="F432" s="55"/>
      <c r="K432" s="55"/>
      <c r="L432" s="55"/>
    </row>
    <row r="433">
      <c r="B433" s="28"/>
      <c r="C433" s="28"/>
      <c r="E433" s="55"/>
      <c r="F433" s="55"/>
      <c r="K433" s="55"/>
      <c r="L433" s="55"/>
    </row>
    <row r="434">
      <c r="B434" s="28"/>
      <c r="C434" s="28"/>
      <c r="E434" s="55"/>
      <c r="F434" s="55"/>
      <c r="K434" s="55"/>
      <c r="L434" s="55"/>
    </row>
    <row r="435">
      <c r="B435" s="28"/>
      <c r="C435" s="28"/>
      <c r="E435" s="55"/>
      <c r="F435" s="55"/>
      <c r="K435" s="55"/>
      <c r="L435" s="55"/>
    </row>
    <row r="436">
      <c r="B436" s="28"/>
      <c r="C436" s="28"/>
      <c r="E436" s="55"/>
      <c r="F436" s="55"/>
      <c r="K436" s="55"/>
      <c r="L436" s="55"/>
    </row>
    <row r="437">
      <c r="B437" s="28"/>
      <c r="C437" s="28"/>
      <c r="E437" s="55"/>
      <c r="F437" s="55"/>
      <c r="K437" s="55"/>
      <c r="L437" s="55"/>
    </row>
    <row r="438">
      <c r="B438" s="28"/>
      <c r="C438" s="28"/>
      <c r="E438" s="55"/>
      <c r="F438" s="55"/>
      <c r="K438" s="55"/>
      <c r="L438" s="55"/>
    </row>
    <row r="439">
      <c r="B439" s="28"/>
      <c r="C439" s="28"/>
      <c r="E439" s="55"/>
      <c r="F439" s="55"/>
      <c r="K439" s="55"/>
      <c r="L439" s="55"/>
    </row>
    <row r="440">
      <c r="B440" s="28"/>
      <c r="C440" s="28"/>
      <c r="E440" s="55"/>
      <c r="F440" s="55"/>
      <c r="K440" s="55"/>
      <c r="L440" s="55"/>
    </row>
    <row r="441">
      <c r="B441" s="28"/>
      <c r="C441" s="28"/>
      <c r="E441" s="55"/>
      <c r="F441" s="55"/>
      <c r="K441" s="55"/>
      <c r="L441" s="55"/>
    </row>
    <row r="442">
      <c r="B442" s="28"/>
      <c r="C442" s="28"/>
      <c r="E442" s="55"/>
      <c r="F442" s="55"/>
      <c r="K442" s="55"/>
      <c r="L442" s="55"/>
    </row>
    <row r="443">
      <c r="B443" s="28"/>
      <c r="C443" s="28"/>
      <c r="E443" s="55"/>
      <c r="F443" s="55"/>
      <c r="K443" s="55"/>
      <c r="L443" s="55"/>
    </row>
    <row r="444">
      <c r="B444" s="28"/>
      <c r="C444" s="28"/>
      <c r="E444" s="55"/>
      <c r="F444" s="55"/>
      <c r="K444" s="55"/>
      <c r="L444" s="55"/>
    </row>
    <row r="445">
      <c r="B445" s="28"/>
      <c r="C445" s="28"/>
      <c r="E445" s="55"/>
      <c r="F445" s="55"/>
      <c r="K445" s="55"/>
      <c r="L445" s="55"/>
    </row>
    <row r="446">
      <c r="B446" s="28"/>
      <c r="C446" s="28"/>
      <c r="E446" s="55"/>
      <c r="F446" s="55"/>
      <c r="K446" s="55"/>
      <c r="L446" s="55"/>
    </row>
    <row r="447">
      <c r="B447" s="28"/>
      <c r="C447" s="28"/>
      <c r="E447" s="55"/>
      <c r="F447" s="55"/>
      <c r="K447" s="55"/>
      <c r="L447" s="55"/>
    </row>
    <row r="448">
      <c r="B448" s="28"/>
      <c r="C448" s="28"/>
      <c r="E448" s="55"/>
      <c r="F448" s="55"/>
      <c r="K448" s="55"/>
      <c r="L448" s="55"/>
    </row>
    <row r="449">
      <c r="B449" s="28"/>
      <c r="C449" s="28"/>
      <c r="E449" s="55"/>
      <c r="F449" s="55"/>
      <c r="K449" s="55"/>
      <c r="L449" s="55"/>
    </row>
    <row r="450">
      <c r="B450" s="28"/>
      <c r="C450" s="28"/>
      <c r="E450" s="55"/>
      <c r="F450" s="55"/>
      <c r="K450" s="55"/>
      <c r="L450" s="55"/>
    </row>
    <row r="451">
      <c r="B451" s="28"/>
      <c r="C451" s="28"/>
      <c r="E451" s="55"/>
      <c r="F451" s="55"/>
      <c r="K451" s="55"/>
      <c r="L451" s="55"/>
    </row>
    <row r="452">
      <c r="B452" s="28"/>
      <c r="C452" s="28"/>
      <c r="E452" s="55"/>
      <c r="F452" s="55"/>
      <c r="K452" s="55"/>
      <c r="L452" s="55"/>
    </row>
    <row r="453">
      <c r="B453" s="28"/>
      <c r="C453" s="28"/>
      <c r="E453" s="55"/>
      <c r="F453" s="55"/>
      <c r="K453" s="55"/>
      <c r="L453" s="55"/>
    </row>
    <row r="454">
      <c r="B454" s="28"/>
      <c r="C454" s="28"/>
      <c r="E454" s="55"/>
      <c r="F454" s="55"/>
      <c r="K454" s="55"/>
      <c r="L454" s="55"/>
    </row>
    <row r="455">
      <c r="B455" s="28"/>
      <c r="C455" s="28"/>
      <c r="E455" s="55"/>
      <c r="F455" s="55"/>
      <c r="K455" s="55"/>
      <c r="L455" s="55"/>
    </row>
    <row r="456">
      <c r="B456" s="28"/>
      <c r="C456" s="28"/>
      <c r="E456" s="55"/>
      <c r="F456" s="55"/>
      <c r="K456" s="55"/>
      <c r="L456" s="55"/>
    </row>
    <row r="457">
      <c r="B457" s="28"/>
      <c r="C457" s="28"/>
      <c r="E457" s="55"/>
      <c r="F457" s="55"/>
      <c r="K457" s="55"/>
      <c r="L457" s="55"/>
    </row>
    <row r="458">
      <c r="B458" s="28"/>
      <c r="C458" s="28"/>
      <c r="E458" s="55"/>
      <c r="F458" s="55"/>
      <c r="K458" s="55"/>
      <c r="L458" s="55"/>
    </row>
    <row r="459">
      <c r="B459" s="28"/>
      <c r="C459" s="28"/>
      <c r="E459" s="55"/>
      <c r="F459" s="55"/>
      <c r="K459" s="55"/>
      <c r="L459" s="55"/>
    </row>
    <row r="460">
      <c r="B460" s="28"/>
      <c r="C460" s="28"/>
      <c r="E460" s="55"/>
      <c r="F460" s="55"/>
      <c r="K460" s="55"/>
      <c r="L460" s="55"/>
    </row>
    <row r="461">
      <c r="B461" s="28"/>
      <c r="C461" s="28"/>
      <c r="E461" s="55"/>
      <c r="F461" s="55"/>
      <c r="K461" s="55"/>
      <c r="L461" s="55"/>
    </row>
    <row r="462">
      <c r="B462" s="28"/>
      <c r="C462" s="28"/>
      <c r="E462" s="55"/>
      <c r="F462" s="55"/>
      <c r="K462" s="55"/>
      <c r="L462" s="55"/>
    </row>
    <row r="463">
      <c r="B463" s="28"/>
      <c r="C463" s="28"/>
      <c r="E463" s="55"/>
      <c r="F463" s="55"/>
      <c r="K463" s="55"/>
      <c r="L463" s="55"/>
    </row>
    <row r="464">
      <c r="B464" s="28"/>
      <c r="C464" s="28"/>
      <c r="E464" s="55"/>
      <c r="F464" s="55"/>
      <c r="K464" s="55"/>
      <c r="L464" s="55"/>
    </row>
    <row r="465">
      <c r="B465" s="28"/>
      <c r="C465" s="28"/>
      <c r="E465" s="55"/>
      <c r="F465" s="55"/>
      <c r="K465" s="55"/>
      <c r="L465" s="55"/>
    </row>
    <row r="466">
      <c r="B466" s="28"/>
      <c r="C466" s="28"/>
      <c r="E466" s="55"/>
      <c r="F466" s="55"/>
      <c r="K466" s="55"/>
      <c r="L466" s="55"/>
    </row>
    <row r="467">
      <c r="B467" s="28"/>
      <c r="C467" s="28"/>
      <c r="E467" s="55"/>
      <c r="F467" s="55"/>
      <c r="K467" s="55"/>
      <c r="L467" s="55"/>
    </row>
    <row r="468">
      <c r="B468" s="28"/>
      <c r="C468" s="28"/>
      <c r="E468" s="55"/>
      <c r="F468" s="55"/>
      <c r="K468" s="55"/>
      <c r="L468" s="55"/>
    </row>
    <row r="469">
      <c r="B469" s="28"/>
      <c r="C469" s="28"/>
      <c r="E469" s="55"/>
      <c r="F469" s="55"/>
      <c r="K469" s="55"/>
      <c r="L469" s="55"/>
    </row>
    <row r="470">
      <c r="B470" s="28"/>
      <c r="C470" s="28"/>
      <c r="E470" s="55"/>
      <c r="F470" s="55"/>
      <c r="K470" s="55"/>
      <c r="L470" s="55"/>
    </row>
    <row r="471">
      <c r="B471" s="28"/>
      <c r="C471" s="28"/>
      <c r="E471" s="55"/>
      <c r="F471" s="55"/>
      <c r="K471" s="55"/>
      <c r="L471" s="55"/>
    </row>
    <row r="472">
      <c r="B472" s="28"/>
      <c r="C472" s="28"/>
      <c r="E472" s="55"/>
      <c r="F472" s="55"/>
      <c r="K472" s="55"/>
      <c r="L472" s="55"/>
    </row>
    <row r="473">
      <c r="B473" s="28"/>
      <c r="C473" s="28"/>
      <c r="E473" s="55"/>
      <c r="F473" s="55"/>
      <c r="K473" s="55"/>
      <c r="L473" s="55"/>
    </row>
    <row r="474">
      <c r="B474" s="28"/>
      <c r="C474" s="28"/>
      <c r="E474" s="55"/>
      <c r="F474" s="55"/>
      <c r="K474" s="55"/>
      <c r="L474" s="55"/>
    </row>
    <row r="475">
      <c r="B475" s="28"/>
      <c r="C475" s="28"/>
      <c r="E475" s="55"/>
      <c r="F475" s="55"/>
      <c r="K475" s="55"/>
      <c r="L475" s="55"/>
    </row>
    <row r="476">
      <c r="B476" s="28"/>
      <c r="C476" s="28"/>
      <c r="E476" s="55"/>
      <c r="F476" s="55"/>
      <c r="K476" s="55"/>
      <c r="L476" s="55"/>
    </row>
    <row r="477">
      <c r="B477" s="28"/>
      <c r="C477" s="28"/>
      <c r="E477" s="55"/>
      <c r="F477" s="55"/>
      <c r="K477" s="55"/>
      <c r="L477" s="55"/>
    </row>
    <row r="478">
      <c r="B478" s="28"/>
      <c r="C478" s="28"/>
      <c r="E478" s="55"/>
      <c r="F478" s="55"/>
      <c r="K478" s="55"/>
      <c r="L478" s="55"/>
    </row>
    <row r="479">
      <c r="B479" s="28"/>
      <c r="C479" s="28"/>
      <c r="E479" s="55"/>
      <c r="F479" s="55"/>
      <c r="K479" s="55"/>
      <c r="L479" s="55"/>
    </row>
    <row r="480">
      <c r="B480" s="28"/>
      <c r="C480" s="28"/>
      <c r="E480" s="55"/>
      <c r="F480" s="55"/>
      <c r="K480" s="55"/>
      <c r="L480" s="55"/>
    </row>
    <row r="481">
      <c r="B481" s="28"/>
      <c r="C481" s="28"/>
      <c r="E481" s="55"/>
      <c r="F481" s="55"/>
      <c r="K481" s="55"/>
      <c r="L481" s="55"/>
    </row>
    <row r="482">
      <c r="B482" s="28"/>
      <c r="C482" s="28"/>
      <c r="E482" s="55"/>
      <c r="F482" s="55"/>
      <c r="K482" s="55"/>
      <c r="L482" s="55"/>
    </row>
    <row r="483">
      <c r="B483" s="28"/>
      <c r="C483" s="28"/>
      <c r="E483" s="55"/>
      <c r="F483" s="55"/>
      <c r="K483" s="55"/>
      <c r="L483" s="55"/>
    </row>
    <row r="484">
      <c r="B484" s="28"/>
      <c r="C484" s="28"/>
      <c r="E484" s="55"/>
      <c r="F484" s="55"/>
      <c r="K484" s="55"/>
      <c r="L484" s="55"/>
    </row>
    <row r="485">
      <c r="B485" s="28"/>
      <c r="C485" s="28"/>
      <c r="E485" s="55"/>
      <c r="F485" s="55"/>
      <c r="K485" s="55"/>
      <c r="L485" s="55"/>
    </row>
    <row r="486">
      <c r="B486" s="28"/>
      <c r="C486" s="28"/>
      <c r="E486" s="55"/>
      <c r="F486" s="55"/>
      <c r="K486" s="55"/>
      <c r="L486" s="55"/>
    </row>
    <row r="487">
      <c r="B487" s="28"/>
      <c r="C487" s="28"/>
      <c r="E487" s="55"/>
      <c r="F487" s="55"/>
      <c r="K487" s="55"/>
      <c r="L487" s="55"/>
    </row>
    <row r="488">
      <c r="B488" s="28"/>
      <c r="C488" s="28"/>
      <c r="E488" s="55"/>
      <c r="F488" s="55"/>
      <c r="K488" s="55"/>
      <c r="L488" s="55"/>
    </row>
    <row r="489">
      <c r="B489" s="28"/>
      <c r="C489" s="28"/>
      <c r="E489" s="55"/>
      <c r="F489" s="55"/>
      <c r="K489" s="55"/>
      <c r="L489" s="55"/>
    </row>
    <row r="490">
      <c r="B490" s="28"/>
      <c r="C490" s="28"/>
      <c r="E490" s="55"/>
      <c r="F490" s="55"/>
      <c r="K490" s="55"/>
      <c r="L490" s="55"/>
    </row>
    <row r="491">
      <c r="B491" s="28"/>
      <c r="C491" s="28"/>
      <c r="E491" s="55"/>
      <c r="F491" s="55"/>
      <c r="K491" s="55"/>
      <c r="L491" s="55"/>
    </row>
    <row r="492">
      <c r="B492" s="28"/>
      <c r="C492" s="28"/>
      <c r="E492" s="55"/>
      <c r="F492" s="55"/>
      <c r="K492" s="55"/>
      <c r="L492" s="55"/>
    </row>
    <row r="493">
      <c r="B493" s="28"/>
      <c r="C493" s="28"/>
      <c r="E493" s="55"/>
      <c r="F493" s="55"/>
      <c r="K493" s="55"/>
      <c r="L493" s="55"/>
    </row>
    <row r="494">
      <c r="B494" s="28"/>
      <c r="C494" s="28"/>
      <c r="E494" s="55"/>
      <c r="F494" s="55"/>
      <c r="K494" s="55"/>
      <c r="L494" s="55"/>
    </row>
    <row r="495">
      <c r="B495" s="28"/>
      <c r="C495" s="28"/>
      <c r="E495" s="55"/>
      <c r="F495" s="55"/>
      <c r="K495" s="55"/>
      <c r="L495" s="55"/>
    </row>
    <row r="496">
      <c r="B496" s="28"/>
      <c r="C496" s="28"/>
      <c r="E496" s="55"/>
      <c r="F496" s="55"/>
      <c r="K496" s="55"/>
      <c r="L496" s="55"/>
    </row>
    <row r="497">
      <c r="B497" s="28"/>
      <c r="C497" s="28"/>
      <c r="E497" s="55"/>
      <c r="F497" s="55"/>
      <c r="K497" s="55"/>
      <c r="L497" s="55"/>
    </row>
    <row r="498">
      <c r="B498" s="28"/>
      <c r="C498" s="28"/>
      <c r="E498" s="55"/>
      <c r="F498" s="55"/>
      <c r="K498" s="55"/>
      <c r="L498" s="55"/>
    </row>
    <row r="499">
      <c r="B499" s="28"/>
      <c r="C499" s="28"/>
      <c r="E499" s="55"/>
      <c r="F499" s="55"/>
      <c r="K499" s="55"/>
      <c r="L499" s="55"/>
    </row>
    <row r="500">
      <c r="B500" s="28"/>
      <c r="C500" s="28"/>
      <c r="E500" s="55"/>
      <c r="F500" s="55"/>
      <c r="K500" s="55"/>
      <c r="L500" s="55"/>
    </row>
    <row r="501">
      <c r="B501" s="28"/>
      <c r="C501" s="28"/>
      <c r="E501" s="55"/>
      <c r="F501" s="55"/>
      <c r="K501" s="55"/>
      <c r="L501" s="55"/>
    </row>
    <row r="502">
      <c r="B502" s="28"/>
      <c r="C502" s="28"/>
      <c r="E502" s="55"/>
      <c r="F502" s="55"/>
      <c r="K502" s="55"/>
      <c r="L502" s="55"/>
    </row>
    <row r="503">
      <c r="B503" s="28"/>
      <c r="C503" s="28"/>
      <c r="E503" s="55"/>
      <c r="F503" s="55"/>
      <c r="K503" s="55"/>
      <c r="L503" s="55"/>
    </row>
    <row r="504">
      <c r="B504" s="28"/>
      <c r="C504" s="28"/>
      <c r="E504" s="55"/>
      <c r="F504" s="55"/>
      <c r="K504" s="55"/>
      <c r="L504" s="55"/>
    </row>
    <row r="505">
      <c r="B505" s="28"/>
      <c r="C505" s="28"/>
      <c r="E505" s="55"/>
      <c r="F505" s="55"/>
      <c r="K505" s="55"/>
      <c r="L505" s="55"/>
    </row>
    <row r="506">
      <c r="B506" s="28"/>
      <c r="C506" s="28"/>
      <c r="E506" s="55"/>
      <c r="F506" s="55"/>
      <c r="K506" s="55"/>
      <c r="L506" s="55"/>
    </row>
    <row r="507">
      <c r="B507" s="28"/>
      <c r="C507" s="28"/>
      <c r="E507" s="55"/>
      <c r="F507" s="55"/>
      <c r="K507" s="55"/>
      <c r="L507" s="55"/>
    </row>
    <row r="508">
      <c r="B508" s="28"/>
      <c r="C508" s="28"/>
      <c r="E508" s="55"/>
      <c r="F508" s="55"/>
      <c r="K508" s="55"/>
      <c r="L508" s="55"/>
    </row>
    <row r="509">
      <c r="B509" s="28"/>
      <c r="C509" s="28"/>
      <c r="E509" s="55"/>
      <c r="F509" s="55"/>
      <c r="K509" s="55"/>
      <c r="L509" s="55"/>
    </row>
    <row r="510">
      <c r="B510" s="28"/>
      <c r="C510" s="28"/>
      <c r="E510" s="55"/>
      <c r="F510" s="55"/>
      <c r="K510" s="55"/>
      <c r="L510" s="55"/>
    </row>
    <row r="511">
      <c r="B511" s="28"/>
      <c r="C511" s="28"/>
      <c r="E511" s="55"/>
      <c r="F511" s="55"/>
      <c r="K511" s="55"/>
      <c r="L511" s="55"/>
    </row>
    <row r="512">
      <c r="B512" s="28"/>
      <c r="C512" s="28"/>
      <c r="E512" s="55"/>
      <c r="F512" s="55"/>
      <c r="K512" s="55"/>
      <c r="L512" s="55"/>
    </row>
    <row r="513">
      <c r="B513" s="28"/>
      <c r="C513" s="28"/>
      <c r="E513" s="55"/>
      <c r="F513" s="55"/>
      <c r="K513" s="55"/>
      <c r="L513" s="55"/>
    </row>
    <row r="514">
      <c r="B514" s="28"/>
      <c r="C514" s="28"/>
      <c r="E514" s="55"/>
      <c r="F514" s="55"/>
      <c r="K514" s="55"/>
      <c r="L514" s="55"/>
    </row>
    <row r="515">
      <c r="B515" s="28"/>
      <c r="C515" s="28"/>
      <c r="E515" s="55"/>
      <c r="F515" s="55"/>
      <c r="K515" s="55"/>
      <c r="L515" s="55"/>
    </row>
    <row r="516">
      <c r="B516" s="28"/>
      <c r="C516" s="28"/>
      <c r="E516" s="55"/>
      <c r="F516" s="55"/>
      <c r="K516" s="55"/>
      <c r="L516" s="55"/>
    </row>
    <row r="517">
      <c r="B517" s="28"/>
      <c r="C517" s="28"/>
      <c r="E517" s="55"/>
      <c r="F517" s="55"/>
      <c r="K517" s="55"/>
      <c r="L517" s="55"/>
    </row>
    <row r="518">
      <c r="B518" s="28"/>
      <c r="C518" s="28"/>
      <c r="E518" s="55"/>
      <c r="F518" s="55"/>
      <c r="K518" s="55"/>
      <c r="L518" s="55"/>
    </row>
    <row r="519">
      <c r="B519" s="28"/>
      <c r="C519" s="28"/>
      <c r="E519" s="55"/>
      <c r="F519" s="55"/>
      <c r="K519" s="55"/>
      <c r="L519" s="55"/>
    </row>
    <row r="520">
      <c r="B520" s="28"/>
      <c r="C520" s="28"/>
      <c r="E520" s="55"/>
      <c r="F520" s="55"/>
      <c r="K520" s="55"/>
      <c r="L520" s="55"/>
    </row>
    <row r="521">
      <c r="B521" s="28"/>
      <c r="C521" s="28"/>
      <c r="E521" s="55"/>
      <c r="F521" s="55"/>
      <c r="K521" s="55"/>
      <c r="L521" s="55"/>
    </row>
    <row r="522">
      <c r="B522" s="28"/>
      <c r="C522" s="28"/>
      <c r="E522" s="55"/>
      <c r="F522" s="55"/>
      <c r="K522" s="55"/>
      <c r="L522" s="55"/>
    </row>
    <row r="523">
      <c r="B523" s="28"/>
      <c r="C523" s="28"/>
      <c r="E523" s="55"/>
      <c r="F523" s="55"/>
      <c r="K523" s="55"/>
      <c r="L523" s="55"/>
    </row>
    <row r="524">
      <c r="B524" s="28"/>
      <c r="C524" s="28"/>
      <c r="E524" s="55"/>
      <c r="F524" s="55"/>
      <c r="K524" s="55"/>
      <c r="L524" s="55"/>
    </row>
    <row r="525">
      <c r="B525" s="28"/>
      <c r="C525" s="28"/>
      <c r="E525" s="55"/>
      <c r="F525" s="55"/>
      <c r="K525" s="55"/>
      <c r="L525" s="55"/>
    </row>
    <row r="526">
      <c r="B526" s="28"/>
      <c r="C526" s="28"/>
      <c r="E526" s="55"/>
      <c r="F526" s="55"/>
      <c r="K526" s="55"/>
      <c r="L526" s="55"/>
    </row>
    <row r="527">
      <c r="B527" s="28"/>
      <c r="C527" s="28"/>
      <c r="E527" s="55"/>
      <c r="F527" s="55"/>
      <c r="K527" s="55"/>
      <c r="L527" s="55"/>
    </row>
    <row r="528">
      <c r="B528" s="28"/>
      <c r="C528" s="28"/>
      <c r="E528" s="55"/>
      <c r="F528" s="55"/>
      <c r="K528" s="55"/>
      <c r="L528" s="55"/>
    </row>
    <row r="529">
      <c r="B529" s="28"/>
      <c r="C529" s="28"/>
      <c r="E529" s="55"/>
      <c r="F529" s="55"/>
      <c r="K529" s="55"/>
      <c r="L529" s="55"/>
    </row>
    <row r="530">
      <c r="B530" s="28"/>
      <c r="C530" s="28"/>
      <c r="E530" s="55"/>
      <c r="F530" s="55"/>
      <c r="K530" s="55"/>
      <c r="L530" s="55"/>
    </row>
    <row r="531">
      <c r="B531" s="28"/>
      <c r="C531" s="28"/>
      <c r="E531" s="55"/>
      <c r="F531" s="55"/>
      <c r="K531" s="55"/>
      <c r="L531" s="55"/>
    </row>
    <row r="532">
      <c r="B532" s="28"/>
      <c r="C532" s="28"/>
      <c r="E532" s="55"/>
      <c r="F532" s="55"/>
      <c r="K532" s="55"/>
      <c r="L532" s="55"/>
    </row>
    <row r="533">
      <c r="B533" s="28"/>
      <c r="C533" s="28"/>
      <c r="E533" s="55"/>
      <c r="F533" s="55"/>
      <c r="K533" s="55"/>
      <c r="L533" s="55"/>
    </row>
    <row r="534">
      <c r="B534" s="28"/>
      <c r="C534" s="28"/>
      <c r="E534" s="55"/>
      <c r="F534" s="55"/>
      <c r="K534" s="55"/>
      <c r="L534" s="55"/>
    </row>
    <row r="535">
      <c r="B535" s="28"/>
      <c r="C535" s="28"/>
      <c r="E535" s="55"/>
      <c r="F535" s="55"/>
      <c r="K535" s="55"/>
      <c r="L535" s="55"/>
    </row>
    <row r="536">
      <c r="B536" s="28"/>
      <c r="C536" s="28"/>
      <c r="E536" s="55"/>
      <c r="F536" s="55"/>
      <c r="K536" s="55"/>
      <c r="L536" s="55"/>
    </row>
    <row r="537">
      <c r="B537" s="28"/>
      <c r="C537" s="28"/>
      <c r="E537" s="55"/>
      <c r="F537" s="55"/>
      <c r="K537" s="55"/>
      <c r="L537" s="55"/>
    </row>
    <row r="538">
      <c r="B538" s="28"/>
      <c r="C538" s="28"/>
      <c r="E538" s="55"/>
      <c r="F538" s="55"/>
      <c r="K538" s="55"/>
      <c r="L538" s="55"/>
    </row>
    <row r="539">
      <c r="B539" s="28"/>
      <c r="C539" s="28"/>
      <c r="E539" s="55"/>
      <c r="F539" s="55"/>
      <c r="K539" s="55"/>
      <c r="L539" s="55"/>
    </row>
    <row r="540">
      <c r="B540" s="28"/>
      <c r="C540" s="28"/>
      <c r="E540" s="55"/>
      <c r="F540" s="55"/>
      <c r="K540" s="55"/>
      <c r="L540" s="55"/>
    </row>
    <row r="541">
      <c r="B541" s="28"/>
      <c r="C541" s="28"/>
      <c r="E541" s="55"/>
      <c r="F541" s="55"/>
      <c r="K541" s="55"/>
      <c r="L541" s="55"/>
    </row>
    <row r="542">
      <c r="B542" s="28"/>
      <c r="C542" s="28"/>
      <c r="E542" s="55"/>
      <c r="F542" s="55"/>
      <c r="K542" s="55"/>
      <c r="L542" s="55"/>
    </row>
    <row r="543">
      <c r="B543" s="28"/>
      <c r="C543" s="28"/>
      <c r="E543" s="55"/>
      <c r="F543" s="55"/>
      <c r="K543" s="55"/>
      <c r="L543" s="55"/>
    </row>
    <row r="544">
      <c r="B544" s="28"/>
      <c r="C544" s="28"/>
      <c r="E544" s="55"/>
      <c r="F544" s="55"/>
      <c r="K544" s="55"/>
      <c r="L544" s="55"/>
    </row>
    <row r="545">
      <c r="B545" s="28"/>
      <c r="C545" s="28"/>
      <c r="E545" s="55"/>
      <c r="F545" s="55"/>
      <c r="K545" s="55"/>
      <c r="L545" s="55"/>
    </row>
    <row r="546">
      <c r="B546" s="28"/>
      <c r="C546" s="28"/>
      <c r="E546" s="55"/>
      <c r="F546" s="55"/>
      <c r="K546" s="55"/>
      <c r="L546" s="55"/>
    </row>
    <row r="547">
      <c r="B547" s="28"/>
      <c r="C547" s="28"/>
      <c r="E547" s="55"/>
      <c r="F547" s="55"/>
      <c r="K547" s="55"/>
      <c r="L547" s="55"/>
    </row>
    <row r="548">
      <c r="B548" s="28"/>
      <c r="C548" s="28"/>
      <c r="E548" s="55"/>
      <c r="F548" s="55"/>
      <c r="K548" s="55"/>
      <c r="L548" s="55"/>
    </row>
    <row r="549">
      <c r="B549" s="28"/>
      <c r="C549" s="28"/>
      <c r="E549" s="55"/>
      <c r="F549" s="55"/>
      <c r="K549" s="55"/>
      <c r="L549" s="55"/>
    </row>
    <row r="550">
      <c r="B550" s="28"/>
      <c r="C550" s="28"/>
      <c r="E550" s="55"/>
      <c r="F550" s="55"/>
      <c r="K550" s="55"/>
      <c r="L550" s="55"/>
    </row>
    <row r="551">
      <c r="B551" s="28"/>
      <c r="C551" s="28"/>
      <c r="E551" s="55"/>
      <c r="F551" s="55"/>
      <c r="K551" s="55"/>
      <c r="L551" s="55"/>
    </row>
    <row r="552">
      <c r="B552" s="28"/>
      <c r="C552" s="28"/>
      <c r="E552" s="55"/>
      <c r="F552" s="55"/>
      <c r="K552" s="55"/>
      <c r="L552" s="55"/>
    </row>
    <row r="553">
      <c r="B553" s="28"/>
      <c r="C553" s="28"/>
      <c r="E553" s="55"/>
      <c r="F553" s="55"/>
      <c r="K553" s="55"/>
      <c r="L553" s="55"/>
    </row>
    <row r="554">
      <c r="B554" s="28"/>
      <c r="C554" s="28"/>
      <c r="E554" s="55"/>
      <c r="F554" s="55"/>
      <c r="K554" s="55"/>
      <c r="L554" s="55"/>
    </row>
    <row r="555">
      <c r="B555" s="28"/>
      <c r="C555" s="28"/>
      <c r="E555" s="55"/>
      <c r="F555" s="55"/>
      <c r="K555" s="55"/>
      <c r="L555" s="55"/>
    </row>
    <row r="556">
      <c r="B556" s="28"/>
      <c r="C556" s="28"/>
      <c r="E556" s="55"/>
      <c r="F556" s="55"/>
      <c r="K556" s="55"/>
      <c r="L556" s="55"/>
    </row>
    <row r="557">
      <c r="B557" s="28"/>
      <c r="C557" s="28"/>
      <c r="E557" s="55"/>
      <c r="F557" s="55"/>
      <c r="K557" s="55"/>
      <c r="L557" s="55"/>
    </row>
    <row r="558">
      <c r="B558" s="28"/>
      <c r="C558" s="28"/>
      <c r="E558" s="55"/>
      <c r="F558" s="55"/>
      <c r="K558" s="55"/>
      <c r="L558" s="55"/>
    </row>
    <row r="559">
      <c r="B559" s="28"/>
      <c r="C559" s="28"/>
      <c r="E559" s="55"/>
      <c r="F559" s="55"/>
      <c r="K559" s="55"/>
      <c r="L559" s="55"/>
    </row>
    <row r="560">
      <c r="B560" s="28"/>
      <c r="C560" s="28"/>
      <c r="E560" s="55"/>
      <c r="F560" s="55"/>
      <c r="K560" s="55"/>
      <c r="L560" s="55"/>
    </row>
    <row r="561">
      <c r="B561" s="28"/>
      <c r="C561" s="28"/>
      <c r="E561" s="55"/>
      <c r="F561" s="55"/>
      <c r="K561" s="55"/>
      <c r="L561" s="55"/>
    </row>
    <row r="562">
      <c r="B562" s="28"/>
      <c r="C562" s="28"/>
      <c r="E562" s="55"/>
      <c r="F562" s="55"/>
      <c r="K562" s="55"/>
      <c r="L562" s="55"/>
    </row>
    <row r="563">
      <c r="B563" s="28"/>
      <c r="C563" s="28"/>
      <c r="E563" s="55"/>
      <c r="F563" s="55"/>
      <c r="K563" s="55"/>
      <c r="L563" s="55"/>
    </row>
    <row r="564">
      <c r="B564" s="28"/>
      <c r="C564" s="28"/>
      <c r="E564" s="55"/>
      <c r="F564" s="55"/>
      <c r="K564" s="55"/>
      <c r="L564" s="55"/>
    </row>
    <row r="565">
      <c r="B565" s="28"/>
      <c r="C565" s="28"/>
      <c r="E565" s="55"/>
      <c r="F565" s="55"/>
      <c r="K565" s="55"/>
      <c r="L565" s="55"/>
    </row>
    <row r="566">
      <c r="B566" s="28"/>
      <c r="C566" s="28"/>
      <c r="E566" s="55"/>
      <c r="F566" s="55"/>
      <c r="K566" s="55"/>
      <c r="L566" s="55"/>
    </row>
    <row r="567">
      <c r="B567" s="28"/>
      <c r="C567" s="28"/>
      <c r="E567" s="55"/>
      <c r="F567" s="55"/>
      <c r="K567" s="55"/>
      <c r="L567" s="55"/>
    </row>
    <row r="568">
      <c r="B568" s="28"/>
      <c r="C568" s="28"/>
      <c r="E568" s="55"/>
      <c r="F568" s="55"/>
      <c r="K568" s="55"/>
      <c r="L568" s="55"/>
    </row>
    <row r="569">
      <c r="B569" s="28"/>
      <c r="C569" s="28"/>
      <c r="E569" s="55"/>
      <c r="F569" s="55"/>
      <c r="K569" s="55"/>
      <c r="L569" s="55"/>
    </row>
    <row r="570">
      <c r="B570" s="28"/>
      <c r="C570" s="28"/>
      <c r="E570" s="55"/>
      <c r="F570" s="55"/>
      <c r="K570" s="55"/>
      <c r="L570" s="55"/>
    </row>
    <row r="571">
      <c r="B571" s="28"/>
      <c r="C571" s="28"/>
      <c r="E571" s="55"/>
      <c r="F571" s="55"/>
      <c r="K571" s="55"/>
      <c r="L571" s="55"/>
    </row>
    <row r="572">
      <c r="B572" s="28"/>
      <c r="C572" s="28"/>
      <c r="E572" s="55"/>
      <c r="F572" s="55"/>
      <c r="K572" s="55"/>
      <c r="L572" s="55"/>
    </row>
    <row r="573">
      <c r="B573" s="28"/>
      <c r="C573" s="28"/>
      <c r="E573" s="55"/>
      <c r="F573" s="55"/>
      <c r="K573" s="55"/>
      <c r="L573" s="55"/>
    </row>
    <row r="574">
      <c r="B574" s="28"/>
      <c r="C574" s="28"/>
      <c r="E574" s="55"/>
      <c r="F574" s="55"/>
      <c r="K574" s="55"/>
      <c r="L574" s="55"/>
    </row>
    <row r="575">
      <c r="B575" s="28"/>
      <c r="C575" s="28"/>
      <c r="E575" s="55"/>
      <c r="F575" s="55"/>
      <c r="K575" s="55"/>
      <c r="L575" s="55"/>
    </row>
    <row r="576">
      <c r="B576" s="28"/>
      <c r="C576" s="28"/>
      <c r="E576" s="55"/>
      <c r="F576" s="55"/>
      <c r="K576" s="55"/>
      <c r="L576" s="55"/>
    </row>
    <row r="577">
      <c r="B577" s="28"/>
      <c r="C577" s="28"/>
      <c r="E577" s="55"/>
      <c r="F577" s="55"/>
      <c r="K577" s="55"/>
      <c r="L577" s="55"/>
    </row>
    <row r="578">
      <c r="B578" s="28"/>
      <c r="C578" s="28"/>
      <c r="E578" s="55"/>
      <c r="F578" s="55"/>
      <c r="K578" s="55"/>
      <c r="L578" s="55"/>
    </row>
    <row r="579">
      <c r="B579" s="28"/>
      <c r="C579" s="28"/>
      <c r="E579" s="55"/>
      <c r="F579" s="55"/>
      <c r="K579" s="55"/>
      <c r="L579" s="55"/>
    </row>
    <row r="580">
      <c r="B580" s="28"/>
      <c r="C580" s="28"/>
      <c r="E580" s="55"/>
      <c r="F580" s="55"/>
      <c r="K580" s="55"/>
      <c r="L580" s="55"/>
    </row>
    <row r="581">
      <c r="B581" s="28"/>
      <c r="C581" s="28"/>
      <c r="E581" s="55"/>
      <c r="F581" s="55"/>
      <c r="K581" s="55"/>
      <c r="L581" s="55"/>
    </row>
    <row r="582">
      <c r="B582" s="28"/>
      <c r="C582" s="28"/>
      <c r="E582" s="55"/>
      <c r="F582" s="55"/>
      <c r="K582" s="55"/>
      <c r="L582" s="55"/>
    </row>
    <row r="583">
      <c r="B583" s="28"/>
      <c r="C583" s="28"/>
      <c r="E583" s="55"/>
      <c r="F583" s="55"/>
      <c r="K583" s="55"/>
      <c r="L583" s="55"/>
    </row>
    <row r="584">
      <c r="B584" s="28"/>
      <c r="C584" s="28"/>
      <c r="E584" s="55"/>
      <c r="F584" s="55"/>
      <c r="K584" s="55"/>
      <c r="L584" s="55"/>
    </row>
    <row r="585">
      <c r="B585" s="28"/>
      <c r="C585" s="28"/>
      <c r="E585" s="55"/>
      <c r="F585" s="55"/>
      <c r="K585" s="55"/>
      <c r="L585" s="55"/>
    </row>
    <row r="586">
      <c r="B586" s="28"/>
      <c r="C586" s="28"/>
      <c r="E586" s="55"/>
      <c r="F586" s="55"/>
      <c r="K586" s="55"/>
      <c r="L586" s="55"/>
    </row>
    <row r="587">
      <c r="B587" s="28"/>
      <c r="C587" s="28"/>
      <c r="E587" s="55"/>
      <c r="F587" s="55"/>
      <c r="K587" s="55"/>
      <c r="L587" s="55"/>
    </row>
    <row r="588">
      <c r="B588" s="28"/>
      <c r="C588" s="28"/>
      <c r="E588" s="55"/>
      <c r="F588" s="55"/>
      <c r="K588" s="55"/>
      <c r="L588" s="55"/>
    </row>
    <row r="589">
      <c r="B589" s="28"/>
      <c r="C589" s="28"/>
      <c r="E589" s="55"/>
      <c r="F589" s="55"/>
      <c r="K589" s="55"/>
      <c r="L589" s="55"/>
    </row>
    <row r="590">
      <c r="B590" s="28"/>
      <c r="C590" s="28"/>
      <c r="E590" s="55"/>
      <c r="F590" s="55"/>
      <c r="K590" s="55"/>
      <c r="L590" s="55"/>
    </row>
    <row r="591">
      <c r="B591" s="28"/>
      <c r="C591" s="28"/>
      <c r="E591" s="55"/>
      <c r="F591" s="55"/>
      <c r="K591" s="55"/>
      <c r="L591" s="55"/>
    </row>
    <row r="592">
      <c r="B592" s="28"/>
      <c r="C592" s="28"/>
      <c r="E592" s="55"/>
      <c r="F592" s="55"/>
      <c r="K592" s="55"/>
      <c r="L592" s="55"/>
    </row>
    <row r="593">
      <c r="B593" s="28"/>
      <c r="C593" s="28"/>
      <c r="E593" s="55"/>
      <c r="F593" s="55"/>
      <c r="K593" s="55"/>
      <c r="L593" s="55"/>
    </row>
    <row r="594">
      <c r="B594" s="28"/>
      <c r="C594" s="28"/>
      <c r="E594" s="55"/>
      <c r="F594" s="55"/>
      <c r="K594" s="55"/>
      <c r="L594" s="55"/>
    </row>
    <row r="595">
      <c r="B595" s="28"/>
      <c r="C595" s="28"/>
      <c r="E595" s="55"/>
      <c r="F595" s="55"/>
      <c r="K595" s="55"/>
      <c r="L595" s="55"/>
    </row>
    <row r="596">
      <c r="B596" s="28"/>
      <c r="C596" s="28"/>
      <c r="E596" s="55"/>
      <c r="F596" s="55"/>
      <c r="K596" s="55"/>
      <c r="L596" s="55"/>
    </row>
    <row r="597">
      <c r="B597" s="28"/>
      <c r="C597" s="28"/>
      <c r="E597" s="55"/>
      <c r="F597" s="55"/>
      <c r="K597" s="55"/>
      <c r="L597" s="55"/>
    </row>
    <row r="598">
      <c r="B598" s="28"/>
      <c r="C598" s="28"/>
      <c r="E598" s="55"/>
      <c r="F598" s="55"/>
      <c r="K598" s="55"/>
      <c r="L598" s="55"/>
    </row>
    <row r="599">
      <c r="B599" s="28"/>
      <c r="C599" s="28"/>
      <c r="E599" s="55"/>
      <c r="F599" s="55"/>
      <c r="K599" s="55"/>
      <c r="L599" s="55"/>
    </row>
    <row r="600">
      <c r="B600" s="28"/>
      <c r="C600" s="28"/>
      <c r="E600" s="55"/>
      <c r="F600" s="55"/>
      <c r="K600" s="55"/>
      <c r="L600" s="55"/>
    </row>
    <row r="601">
      <c r="B601" s="28"/>
      <c r="C601" s="28"/>
      <c r="E601" s="55"/>
      <c r="F601" s="55"/>
      <c r="K601" s="55"/>
      <c r="L601" s="55"/>
    </row>
    <row r="602">
      <c r="B602" s="28"/>
      <c r="C602" s="28"/>
      <c r="E602" s="55"/>
      <c r="F602" s="55"/>
      <c r="K602" s="55"/>
      <c r="L602" s="55"/>
    </row>
    <row r="603">
      <c r="B603" s="28"/>
      <c r="C603" s="28"/>
      <c r="E603" s="55"/>
      <c r="F603" s="55"/>
      <c r="K603" s="55"/>
      <c r="L603" s="55"/>
    </row>
    <row r="604">
      <c r="B604" s="28"/>
      <c r="C604" s="28"/>
      <c r="E604" s="55"/>
      <c r="F604" s="55"/>
      <c r="K604" s="55"/>
      <c r="L604" s="55"/>
    </row>
    <row r="605">
      <c r="B605" s="28"/>
      <c r="C605" s="28"/>
      <c r="E605" s="55"/>
      <c r="F605" s="55"/>
      <c r="K605" s="55"/>
      <c r="L605" s="55"/>
    </row>
    <row r="606">
      <c r="B606" s="28"/>
      <c r="C606" s="28"/>
      <c r="E606" s="55"/>
      <c r="F606" s="55"/>
      <c r="K606" s="55"/>
      <c r="L606" s="55"/>
    </row>
    <row r="607">
      <c r="B607" s="28"/>
      <c r="C607" s="28"/>
      <c r="E607" s="55"/>
      <c r="F607" s="55"/>
      <c r="K607" s="55"/>
      <c r="L607" s="55"/>
    </row>
    <row r="608">
      <c r="B608" s="28"/>
      <c r="C608" s="28"/>
      <c r="E608" s="55"/>
      <c r="F608" s="55"/>
      <c r="K608" s="55"/>
      <c r="L608" s="55"/>
    </row>
    <row r="609">
      <c r="B609" s="28"/>
      <c r="C609" s="28"/>
      <c r="E609" s="55"/>
      <c r="F609" s="55"/>
      <c r="K609" s="55"/>
      <c r="L609" s="55"/>
    </row>
    <row r="610">
      <c r="B610" s="28"/>
      <c r="C610" s="28"/>
      <c r="E610" s="55"/>
      <c r="F610" s="55"/>
      <c r="K610" s="55"/>
      <c r="L610" s="55"/>
    </row>
    <row r="611">
      <c r="B611" s="28"/>
      <c r="C611" s="28"/>
      <c r="E611" s="55"/>
      <c r="F611" s="55"/>
      <c r="K611" s="55"/>
      <c r="L611" s="55"/>
    </row>
    <row r="612">
      <c r="B612" s="28"/>
      <c r="C612" s="28"/>
      <c r="E612" s="55"/>
      <c r="F612" s="55"/>
      <c r="K612" s="55"/>
      <c r="L612" s="55"/>
    </row>
    <row r="613">
      <c r="B613" s="28"/>
      <c r="C613" s="28"/>
      <c r="E613" s="55"/>
      <c r="F613" s="55"/>
      <c r="K613" s="55"/>
      <c r="L613" s="55"/>
    </row>
    <row r="614">
      <c r="B614" s="28"/>
      <c r="C614" s="28"/>
      <c r="E614" s="55"/>
      <c r="F614" s="55"/>
      <c r="K614" s="55"/>
      <c r="L614" s="55"/>
    </row>
    <row r="615">
      <c r="B615" s="28"/>
      <c r="C615" s="28"/>
      <c r="E615" s="55"/>
      <c r="F615" s="55"/>
      <c r="K615" s="55"/>
      <c r="L615" s="55"/>
    </row>
    <row r="616">
      <c r="B616" s="28"/>
      <c r="C616" s="28"/>
      <c r="E616" s="55"/>
      <c r="F616" s="55"/>
      <c r="K616" s="55"/>
      <c r="L616" s="55"/>
    </row>
    <row r="617">
      <c r="B617" s="28"/>
      <c r="C617" s="28"/>
      <c r="E617" s="55"/>
      <c r="F617" s="55"/>
      <c r="K617" s="55"/>
      <c r="L617" s="55"/>
    </row>
    <row r="618">
      <c r="B618" s="28"/>
      <c r="C618" s="28"/>
      <c r="E618" s="55"/>
      <c r="F618" s="55"/>
      <c r="K618" s="55"/>
      <c r="L618" s="55"/>
    </row>
    <row r="619">
      <c r="B619" s="28"/>
      <c r="C619" s="28"/>
      <c r="E619" s="55"/>
      <c r="F619" s="55"/>
      <c r="K619" s="55"/>
      <c r="L619" s="55"/>
    </row>
    <row r="620">
      <c r="B620" s="28"/>
      <c r="C620" s="28"/>
      <c r="E620" s="55"/>
      <c r="F620" s="55"/>
      <c r="K620" s="55"/>
      <c r="L620" s="55"/>
    </row>
    <row r="621">
      <c r="B621" s="28"/>
      <c r="C621" s="28"/>
      <c r="E621" s="55"/>
      <c r="F621" s="55"/>
      <c r="K621" s="55"/>
      <c r="L621" s="55"/>
    </row>
    <row r="622">
      <c r="B622" s="28"/>
      <c r="C622" s="28"/>
      <c r="E622" s="55"/>
      <c r="F622" s="55"/>
      <c r="K622" s="55"/>
      <c r="L622" s="55"/>
    </row>
    <row r="623">
      <c r="B623" s="28"/>
      <c r="C623" s="28"/>
      <c r="E623" s="55"/>
      <c r="F623" s="55"/>
      <c r="K623" s="55"/>
      <c r="L623" s="55"/>
    </row>
    <row r="624">
      <c r="B624" s="28"/>
      <c r="C624" s="28"/>
      <c r="E624" s="55"/>
      <c r="F624" s="55"/>
      <c r="K624" s="55"/>
      <c r="L624" s="55"/>
    </row>
    <row r="625">
      <c r="B625" s="28"/>
      <c r="C625" s="28"/>
      <c r="E625" s="55"/>
      <c r="F625" s="55"/>
      <c r="K625" s="55"/>
      <c r="L625" s="55"/>
    </row>
    <row r="626">
      <c r="B626" s="28"/>
      <c r="C626" s="28"/>
      <c r="E626" s="55"/>
      <c r="F626" s="55"/>
      <c r="K626" s="55"/>
      <c r="L626" s="55"/>
    </row>
    <row r="627">
      <c r="B627" s="28"/>
      <c r="C627" s="28"/>
      <c r="E627" s="55"/>
      <c r="F627" s="55"/>
      <c r="K627" s="55"/>
      <c r="L627" s="55"/>
    </row>
    <row r="628">
      <c r="B628" s="28"/>
      <c r="C628" s="28"/>
      <c r="E628" s="55"/>
      <c r="F628" s="55"/>
      <c r="K628" s="55"/>
      <c r="L628" s="55"/>
    </row>
    <row r="629">
      <c r="B629" s="28"/>
      <c r="C629" s="28"/>
      <c r="E629" s="55"/>
      <c r="F629" s="55"/>
      <c r="K629" s="55"/>
      <c r="L629" s="55"/>
    </row>
    <row r="630">
      <c r="B630" s="28"/>
      <c r="C630" s="28"/>
      <c r="E630" s="55"/>
      <c r="F630" s="55"/>
      <c r="K630" s="55"/>
      <c r="L630" s="55"/>
    </row>
    <row r="631">
      <c r="B631" s="28"/>
      <c r="C631" s="28"/>
      <c r="E631" s="55"/>
      <c r="F631" s="55"/>
      <c r="K631" s="55"/>
      <c r="L631" s="55"/>
    </row>
    <row r="632">
      <c r="B632" s="28"/>
      <c r="C632" s="28"/>
      <c r="E632" s="55"/>
      <c r="F632" s="55"/>
      <c r="K632" s="55"/>
      <c r="L632" s="55"/>
    </row>
    <row r="633">
      <c r="B633" s="28"/>
      <c r="C633" s="28"/>
      <c r="E633" s="55"/>
      <c r="F633" s="55"/>
      <c r="K633" s="55"/>
      <c r="L633" s="55"/>
    </row>
    <row r="634">
      <c r="B634" s="28"/>
      <c r="C634" s="28"/>
      <c r="E634" s="55"/>
      <c r="F634" s="55"/>
      <c r="K634" s="55"/>
      <c r="L634" s="55"/>
    </row>
    <row r="635">
      <c r="B635" s="28"/>
      <c r="C635" s="28"/>
      <c r="E635" s="55"/>
      <c r="F635" s="55"/>
      <c r="K635" s="55"/>
      <c r="L635" s="55"/>
    </row>
    <row r="636">
      <c r="B636" s="28"/>
      <c r="C636" s="28"/>
      <c r="E636" s="55"/>
      <c r="F636" s="55"/>
      <c r="K636" s="55"/>
      <c r="L636" s="55"/>
    </row>
    <row r="637">
      <c r="B637" s="28"/>
      <c r="C637" s="28"/>
      <c r="E637" s="55"/>
      <c r="F637" s="55"/>
      <c r="K637" s="55"/>
      <c r="L637" s="55"/>
    </row>
    <row r="638">
      <c r="B638" s="28"/>
      <c r="C638" s="28"/>
      <c r="E638" s="55"/>
      <c r="F638" s="55"/>
      <c r="K638" s="55"/>
      <c r="L638" s="55"/>
    </row>
    <row r="639">
      <c r="B639" s="28"/>
      <c r="C639" s="28"/>
      <c r="E639" s="55"/>
      <c r="F639" s="55"/>
      <c r="K639" s="55"/>
      <c r="L639" s="55"/>
    </row>
    <row r="640">
      <c r="B640" s="28"/>
      <c r="C640" s="28"/>
      <c r="E640" s="55"/>
      <c r="F640" s="55"/>
      <c r="K640" s="55"/>
      <c r="L640" s="55"/>
    </row>
    <row r="641">
      <c r="B641" s="28"/>
      <c r="C641" s="28"/>
      <c r="E641" s="55"/>
      <c r="F641" s="55"/>
      <c r="K641" s="55"/>
      <c r="L641" s="55"/>
    </row>
    <row r="642">
      <c r="B642" s="28"/>
      <c r="C642" s="28"/>
      <c r="E642" s="55"/>
      <c r="F642" s="55"/>
      <c r="K642" s="55"/>
      <c r="L642" s="55"/>
    </row>
    <row r="643">
      <c r="B643" s="28"/>
      <c r="C643" s="28"/>
      <c r="E643" s="55"/>
      <c r="F643" s="55"/>
      <c r="K643" s="55"/>
      <c r="L643" s="55"/>
    </row>
    <row r="644">
      <c r="B644" s="28"/>
      <c r="C644" s="28"/>
      <c r="E644" s="55"/>
      <c r="F644" s="55"/>
      <c r="K644" s="55"/>
      <c r="L644" s="55"/>
    </row>
    <row r="645">
      <c r="B645" s="28"/>
      <c r="C645" s="28"/>
      <c r="E645" s="55"/>
      <c r="F645" s="55"/>
      <c r="K645" s="55"/>
      <c r="L645" s="55"/>
    </row>
    <row r="646">
      <c r="B646" s="28"/>
      <c r="C646" s="28"/>
      <c r="E646" s="55"/>
      <c r="F646" s="55"/>
      <c r="K646" s="55"/>
      <c r="L646" s="55"/>
    </row>
    <row r="647">
      <c r="B647" s="28"/>
      <c r="C647" s="28"/>
      <c r="E647" s="55"/>
      <c r="F647" s="55"/>
      <c r="K647" s="55"/>
      <c r="L647" s="55"/>
    </row>
    <row r="648">
      <c r="B648" s="28"/>
      <c r="C648" s="28"/>
      <c r="E648" s="55"/>
      <c r="F648" s="55"/>
      <c r="K648" s="55"/>
      <c r="L648" s="55"/>
    </row>
    <row r="649">
      <c r="B649" s="28"/>
      <c r="C649" s="28"/>
      <c r="E649" s="55"/>
      <c r="F649" s="55"/>
      <c r="K649" s="55"/>
      <c r="L649" s="55"/>
    </row>
    <row r="650">
      <c r="B650" s="28"/>
      <c r="C650" s="28"/>
      <c r="E650" s="55"/>
      <c r="F650" s="55"/>
      <c r="K650" s="55"/>
      <c r="L650" s="55"/>
    </row>
    <row r="651">
      <c r="B651" s="28"/>
      <c r="C651" s="28"/>
      <c r="E651" s="55"/>
      <c r="F651" s="55"/>
      <c r="K651" s="55"/>
      <c r="L651" s="55"/>
    </row>
    <row r="652">
      <c r="B652" s="28"/>
      <c r="C652" s="28"/>
      <c r="E652" s="55"/>
      <c r="F652" s="55"/>
      <c r="K652" s="55"/>
      <c r="L652" s="55"/>
    </row>
    <row r="653">
      <c r="B653" s="28"/>
      <c r="C653" s="28"/>
      <c r="E653" s="55"/>
      <c r="F653" s="55"/>
      <c r="K653" s="55"/>
      <c r="L653" s="55"/>
    </row>
    <row r="654">
      <c r="B654" s="28"/>
      <c r="C654" s="28"/>
      <c r="E654" s="55"/>
      <c r="F654" s="55"/>
      <c r="K654" s="55"/>
      <c r="L654" s="55"/>
    </row>
    <row r="655">
      <c r="B655" s="28"/>
      <c r="C655" s="28"/>
      <c r="E655" s="55"/>
      <c r="F655" s="55"/>
      <c r="K655" s="55"/>
      <c r="L655" s="55"/>
    </row>
    <row r="656">
      <c r="B656" s="28"/>
      <c r="C656" s="28"/>
      <c r="E656" s="55"/>
      <c r="F656" s="55"/>
      <c r="K656" s="55"/>
      <c r="L656" s="55"/>
    </row>
    <row r="657">
      <c r="B657" s="28"/>
      <c r="C657" s="28"/>
      <c r="E657" s="55"/>
      <c r="F657" s="55"/>
      <c r="K657" s="55"/>
      <c r="L657" s="55"/>
    </row>
    <row r="658">
      <c r="B658" s="28"/>
      <c r="C658" s="28"/>
      <c r="E658" s="55"/>
      <c r="F658" s="55"/>
      <c r="K658" s="55"/>
      <c r="L658" s="55"/>
    </row>
    <row r="659">
      <c r="B659" s="28"/>
      <c r="C659" s="28"/>
      <c r="E659" s="55"/>
      <c r="F659" s="55"/>
      <c r="K659" s="55"/>
      <c r="L659" s="55"/>
    </row>
    <row r="660">
      <c r="B660" s="28"/>
      <c r="C660" s="28"/>
      <c r="E660" s="55"/>
      <c r="F660" s="55"/>
      <c r="K660" s="55"/>
      <c r="L660" s="55"/>
    </row>
    <row r="661">
      <c r="B661" s="28"/>
      <c r="C661" s="28"/>
      <c r="E661" s="55"/>
      <c r="F661" s="55"/>
      <c r="K661" s="55"/>
      <c r="L661" s="55"/>
    </row>
    <row r="662">
      <c r="B662" s="28"/>
      <c r="C662" s="28"/>
      <c r="E662" s="55"/>
      <c r="F662" s="55"/>
      <c r="K662" s="55"/>
      <c r="L662" s="55"/>
    </row>
    <row r="663">
      <c r="B663" s="28"/>
      <c r="C663" s="28"/>
      <c r="E663" s="55"/>
      <c r="F663" s="55"/>
      <c r="K663" s="55"/>
      <c r="L663" s="55"/>
    </row>
    <row r="664">
      <c r="B664" s="28"/>
      <c r="C664" s="28"/>
      <c r="E664" s="55"/>
      <c r="F664" s="55"/>
      <c r="K664" s="55"/>
      <c r="L664" s="55"/>
    </row>
    <row r="665">
      <c r="B665" s="28"/>
      <c r="C665" s="28"/>
      <c r="E665" s="55"/>
      <c r="F665" s="55"/>
      <c r="K665" s="55"/>
      <c r="L665" s="55"/>
    </row>
    <row r="666">
      <c r="B666" s="28"/>
      <c r="C666" s="28"/>
      <c r="E666" s="55"/>
      <c r="F666" s="55"/>
      <c r="K666" s="55"/>
      <c r="L666" s="55"/>
    </row>
    <row r="667">
      <c r="B667" s="28"/>
      <c r="C667" s="28"/>
      <c r="E667" s="55"/>
      <c r="F667" s="55"/>
      <c r="K667" s="55"/>
      <c r="L667" s="55"/>
    </row>
    <row r="668">
      <c r="B668" s="28"/>
      <c r="C668" s="28"/>
      <c r="E668" s="55"/>
      <c r="F668" s="55"/>
      <c r="K668" s="55"/>
      <c r="L668" s="55"/>
    </row>
    <row r="669">
      <c r="B669" s="28"/>
      <c r="C669" s="28"/>
      <c r="E669" s="55"/>
      <c r="F669" s="55"/>
      <c r="K669" s="55"/>
      <c r="L669" s="55"/>
    </row>
    <row r="670">
      <c r="B670" s="28"/>
      <c r="C670" s="28"/>
      <c r="E670" s="55"/>
      <c r="F670" s="55"/>
      <c r="K670" s="55"/>
      <c r="L670" s="55"/>
    </row>
    <row r="671">
      <c r="B671" s="28"/>
      <c r="C671" s="28"/>
      <c r="E671" s="55"/>
      <c r="F671" s="55"/>
      <c r="K671" s="55"/>
      <c r="L671" s="55"/>
    </row>
    <row r="672">
      <c r="B672" s="28"/>
      <c r="C672" s="28"/>
      <c r="E672" s="55"/>
      <c r="F672" s="55"/>
      <c r="K672" s="55"/>
      <c r="L672" s="55"/>
    </row>
    <row r="673">
      <c r="B673" s="28"/>
      <c r="C673" s="28"/>
      <c r="E673" s="55"/>
      <c r="F673" s="55"/>
      <c r="K673" s="55"/>
      <c r="L673" s="55"/>
    </row>
    <row r="674">
      <c r="B674" s="28"/>
      <c r="C674" s="28"/>
      <c r="E674" s="55"/>
      <c r="F674" s="55"/>
      <c r="K674" s="55"/>
      <c r="L674" s="55"/>
    </row>
    <row r="675">
      <c r="B675" s="28"/>
      <c r="C675" s="28"/>
      <c r="E675" s="55"/>
      <c r="F675" s="55"/>
      <c r="K675" s="55"/>
      <c r="L675" s="55"/>
    </row>
    <row r="676">
      <c r="B676" s="28"/>
      <c r="C676" s="28"/>
      <c r="E676" s="55"/>
      <c r="F676" s="55"/>
      <c r="K676" s="55"/>
      <c r="L676" s="55"/>
    </row>
    <row r="677">
      <c r="B677" s="28"/>
      <c r="C677" s="28"/>
      <c r="E677" s="55"/>
      <c r="F677" s="55"/>
      <c r="K677" s="55"/>
      <c r="L677" s="55"/>
    </row>
    <row r="678">
      <c r="B678" s="28"/>
      <c r="C678" s="28"/>
      <c r="E678" s="55"/>
      <c r="F678" s="55"/>
      <c r="K678" s="55"/>
      <c r="L678" s="55"/>
    </row>
    <row r="679">
      <c r="B679" s="28"/>
      <c r="C679" s="28"/>
      <c r="E679" s="55"/>
      <c r="F679" s="55"/>
      <c r="K679" s="55"/>
      <c r="L679" s="55"/>
    </row>
    <row r="680">
      <c r="B680" s="28"/>
      <c r="C680" s="28"/>
      <c r="E680" s="55"/>
      <c r="F680" s="55"/>
      <c r="K680" s="55"/>
      <c r="L680" s="55"/>
    </row>
    <row r="681">
      <c r="B681" s="28"/>
      <c r="C681" s="28"/>
      <c r="E681" s="55"/>
      <c r="F681" s="55"/>
      <c r="K681" s="55"/>
      <c r="L681" s="55"/>
    </row>
    <row r="682">
      <c r="B682" s="28"/>
      <c r="C682" s="28"/>
      <c r="E682" s="55"/>
      <c r="F682" s="55"/>
      <c r="K682" s="55"/>
      <c r="L682" s="55"/>
    </row>
    <row r="683">
      <c r="B683" s="28"/>
      <c r="C683" s="28"/>
      <c r="E683" s="55"/>
      <c r="F683" s="55"/>
      <c r="K683" s="55"/>
      <c r="L683" s="55"/>
    </row>
    <row r="684">
      <c r="B684" s="28"/>
      <c r="C684" s="28"/>
      <c r="E684" s="55"/>
      <c r="F684" s="55"/>
      <c r="K684" s="55"/>
      <c r="L684" s="55"/>
    </row>
    <row r="685">
      <c r="B685" s="28"/>
      <c r="C685" s="28"/>
      <c r="E685" s="55"/>
      <c r="F685" s="55"/>
      <c r="K685" s="55"/>
      <c r="L685" s="55"/>
    </row>
    <row r="686">
      <c r="B686" s="28"/>
      <c r="C686" s="28"/>
      <c r="E686" s="55"/>
      <c r="F686" s="55"/>
      <c r="K686" s="55"/>
      <c r="L686" s="55"/>
    </row>
    <row r="687">
      <c r="B687" s="28"/>
      <c r="C687" s="28"/>
      <c r="E687" s="55"/>
      <c r="F687" s="55"/>
      <c r="K687" s="55"/>
      <c r="L687" s="55"/>
    </row>
    <row r="688">
      <c r="B688" s="28"/>
      <c r="C688" s="28"/>
      <c r="E688" s="55"/>
      <c r="F688" s="55"/>
      <c r="K688" s="55"/>
      <c r="L688" s="55"/>
    </row>
    <row r="689">
      <c r="B689" s="28"/>
      <c r="C689" s="28"/>
      <c r="E689" s="55"/>
      <c r="F689" s="55"/>
      <c r="K689" s="55"/>
      <c r="L689" s="55"/>
    </row>
    <row r="690">
      <c r="B690" s="28"/>
      <c r="C690" s="28"/>
      <c r="E690" s="55"/>
      <c r="F690" s="55"/>
      <c r="K690" s="55"/>
      <c r="L690" s="55"/>
    </row>
    <row r="691">
      <c r="B691" s="28"/>
      <c r="C691" s="28"/>
      <c r="E691" s="55"/>
      <c r="F691" s="55"/>
      <c r="K691" s="55"/>
      <c r="L691" s="55"/>
    </row>
    <row r="692">
      <c r="B692" s="28"/>
      <c r="C692" s="28"/>
      <c r="E692" s="55"/>
      <c r="F692" s="55"/>
      <c r="K692" s="55"/>
      <c r="L692" s="55"/>
    </row>
    <row r="693">
      <c r="B693" s="28"/>
      <c r="C693" s="28"/>
      <c r="E693" s="55"/>
      <c r="F693" s="55"/>
      <c r="K693" s="55"/>
      <c r="L693" s="55"/>
    </row>
    <row r="694">
      <c r="B694" s="28"/>
      <c r="C694" s="28"/>
      <c r="E694" s="55"/>
      <c r="F694" s="55"/>
      <c r="K694" s="55"/>
      <c r="L694" s="55"/>
    </row>
    <row r="695">
      <c r="B695" s="28"/>
      <c r="C695" s="28"/>
      <c r="E695" s="55"/>
      <c r="F695" s="55"/>
      <c r="K695" s="55"/>
      <c r="L695" s="55"/>
    </row>
    <row r="696">
      <c r="B696" s="28"/>
      <c r="C696" s="28"/>
      <c r="E696" s="55"/>
      <c r="F696" s="55"/>
      <c r="K696" s="55"/>
      <c r="L696" s="55"/>
    </row>
    <row r="697">
      <c r="B697" s="28"/>
      <c r="C697" s="28"/>
      <c r="E697" s="55"/>
      <c r="F697" s="55"/>
      <c r="K697" s="55"/>
      <c r="L697" s="55"/>
    </row>
    <row r="698">
      <c r="B698" s="28"/>
      <c r="C698" s="28"/>
      <c r="E698" s="55"/>
      <c r="F698" s="55"/>
      <c r="K698" s="55"/>
      <c r="L698" s="55"/>
    </row>
    <row r="699">
      <c r="B699" s="28"/>
      <c r="C699" s="28"/>
      <c r="E699" s="55"/>
      <c r="F699" s="55"/>
      <c r="K699" s="55"/>
      <c r="L699" s="55"/>
    </row>
    <row r="700">
      <c r="B700" s="28"/>
      <c r="C700" s="28"/>
      <c r="E700" s="55"/>
      <c r="F700" s="55"/>
      <c r="K700" s="55"/>
      <c r="L700" s="55"/>
    </row>
    <row r="701">
      <c r="B701" s="28"/>
      <c r="C701" s="28"/>
      <c r="E701" s="55"/>
      <c r="F701" s="55"/>
      <c r="K701" s="55"/>
      <c r="L701" s="55"/>
    </row>
    <row r="702">
      <c r="B702" s="28"/>
      <c r="C702" s="28"/>
      <c r="E702" s="55"/>
      <c r="F702" s="55"/>
      <c r="K702" s="55"/>
      <c r="L702" s="55"/>
    </row>
    <row r="703">
      <c r="B703" s="28"/>
      <c r="C703" s="28"/>
      <c r="E703" s="55"/>
      <c r="F703" s="55"/>
      <c r="K703" s="55"/>
      <c r="L703" s="55"/>
    </row>
    <row r="704">
      <c r="B704" s="28"/>
      <c r="C704" s="28"/>
      <c r="E704" s="55"/>
      <c r="F704" s="55"/>
      <c r="K704" s="55"/>
      <c r="L704" s="55"/>
    </row>
    <row r="705">
      <c r="B705" s="28"/>
      <c r="C705" s="28"/>
      <c r="E705" s="55"/>
      <c r="F705" s="55"/>
      <c r="K705" s="55"/>
      <c r="L705" s="55"/>
    </row>
    <row r="706">
      <c r="B706" s="28"/>
      <c r="C706" s="28"/>
      <c r="E706" s="55"/>
      <c r="F706" s="55"/>
      <c r="K706" s="55"/>
      <c r="L706" s="55"/>
    </row>
    <row r="707">
      <c r="B707" s="28"/>
      <c r="C707" s="28"/>
      <c r="E707" s="55"/>
      <c r="F707" s="55"/>
      <c r="K707" s="55"/>
      <c r="L707" s="55"/>
    </row>
    <row r="708">
      <c r="B708" s="28"/>
      <c r="C708" s="28"/>
      <c r="E708" s="55"/>
      <c r="F708" s="55"/>
      <c r="K708" s="55"/>
      <c r="L708" s="55"/>
    </row>
    <row r="709">
      <c r="B709" s="28"/>
      <c r="C709" s="28"/>
      <c r="E709" s="55"/>
      <c r="F709" s="55"/>
      <c r="K709" s="55"/>
      <c r="L709" s="55"/>
    </row>
    <row r="710">
      <c r="B710" s="28"/>
      <c r="C710" s="28"/>
      <c r="E710" s="55"/>
      <c r="F710" s="55"/>
      <c r="K710" s="55"/>
      <c r="L710" s="55"/>
    </row>
    <row r="711">
      <c r="B711" s="28"/>
      <c r="C711" s="28"/>
      <c r="E711" s="55"/>
      <c r="F711" s="55"/>
      <c r="K711" s="55"/>
      <c r="L711" s="55"/>
    </row>
    <row r="712">
      <c r="B712" s="28"/>
      <c r="C712" s="28"/>
      <c r="E712" s="55"/>
      <c r="F712" s="55"/>
      <c r="K712" s="55"/>
      <c r="L712" s="55"/>
    </row>
    <row r="713">
      <c r="B713" s="28"/>
      <c r="C713" s="28"/>
      <c r="E713" s="55"/>
      <c r="F713" s="55"/>
      <c r="K713" s="55"/>
      <c r="L713" s="55"/>
    </row>
    <row r="714">
      <c r="B714" s="28"/>
      <c r="C714" s="28"/>
      <c r="E714" s="55"/>
      <c r="F714" s="55"/>
      <c r="K714" s="55"/>
      <c r="L714" s="55"/>
    </row>
    <row r="715">
      <c r="B715" s="28"/>
      <c r="C715" s="28"/>
      <c r="E715" s="55"/>
      <c r="F715" s="55"/>
      <c r="K715" s="55"/>
      <c r="L715" s="55"/>
    </row>
    <row r="716">
      <c r="B716" s="28"/>
      <c r="C716" s="28"/>
      <c r="E716" s="55"/>
      <c r="F716" s="55"/>
      <c r="K716" s="55"/>
      <c r="L716" s="55"/>
    </row>
    <row r="717">
      <c r="B717" s="28"/>
      <c r="C717" s="28"/>
      <c r="E717" s="55"/>
      <c r="F717" s="55"/>
      <c r="K717" s="55"/>
      <c r="L717" s="55"/>
    </row>
    <row r="718">
      <c r="B718" s="28"/>
      <c r="C718" s="28"/>
      <c r="E718" s="55"/>
      <c r="F718" s="55"/>
      <c r="K718" s="55"/>
      <c r="L718" s="55"/>
    </row>
    <row r="719">
      <c r="B719" s="28"/>
      <c r="C719" s="28"/>
      <c r="E719" s="55"/>
      <c r="F719" s="55"/>
      <c r="K719" s="55"/>
      <c r="L719" s="55"/>
    </row>
    <row r="720">
      <c r="B720" s="28"/>
      <c r="C720" s="28"/>
      <c r="E720" s="55"/>
      <c r="F720" s="55"/>
      <c r="K720" s="55"/>
      <c r="L720" s="55"/>
    </row>
    <row r="721">
      <c r="B721" s="28"/>
      <c r="C721" s="28"/>
      <c r="E721" s="55"/>
      <c r="F721" s="55"/>
      <c r="K721" s="55"/>
      <c r="L721" s="55"/>
    </row>
    <row r="722">
      <c r="B722" s="28"/>
      <c r="C722" s="28"/>
      <c r="E722" s="55"/>
      <c r="F722" s="55"/>
      <c r="K722" s="55"/>
      <c r="L722" s="55"/>
    </row>
    <row r="723">
      <c r="B723" s="28"/>
      <c r="C723" s="28"/>
      <c r="E723" s="55"/>
      <c r="F723" s="55"/>
      <c r="K723" s="55"/>
      <c r="L723" s="55"/>
    </row>
    <row r="724">
      <c r="B724" s="28"/>
      <c r="C724" s="28"/>
      <c r="E724" s="55"/>
      <c r="F724" s="55"/>
      <c r="K724" s="55"/>
      <c r="L724" s="55"/>
    </row>
    <row r="725">
      <c r="B725" s="28"/>
      <c r="C725" s="28"/>
      <c r="E725" s="55"/>
      <c r="F725" s="55"/>
      <c r="K725" s="55"/>
      <c r="L725" s="55"/>
    </row>
    <row r="726">
      <c r="B726" s="28"/>
      <c r="C726" s="28"/>
      <c r="E726" s="55"/>
      <c r="F726" s="55"/>
      <c r="K726" s="55"/>
      <c r="L726" s="55"/>
    </row>
    <row r="727">
      <c r="B727" s="28"/>
      <c r="C727" s="28"/>
      <c r="E727" s="55"/>
      <c r="F727" s="55"/>
      <c r="K727" s="55"/>
      <c r="L727" s="55"/>
    </row>
    <row r="728">
      <c r="B728" s="28"/>
      <c r="C728" s="28"/>
      <c r="E728" s="55"/>
      <c r="F728" s="55"/>
      <c r="K728" s="55"/>
      <c r="L728" s="55"/>
    </row>
    <row r="729">
      <c r="B729" s="28"/>
      <c r="C729" s="28"/>
      <c r="E729" s="55"/>
      <c r="F729" s="55"/>
      <c r="K729" s="55"/>
      <c r="L729" s="55"/>
    </row>
    <row r="730">
      <c r="B730" s="28"/>
      <c r="C730" s="28"/>
      <c r="E730" s="55"/>
      <c r="F730" s="55"/>
      <c r="K730" s="55"/>
      <c r="L730" s="55"/>
    </row>
    <row r="731">
      <c r="B731" s="28"/>
      <c r="C731" s="28"/>
      <c r="E731" s="55"/>
      <c r="F731" s="55"/>
      <c r="K731" s="55"/>
      <c r="L731" s="55"/>
    </row>
    <row r="732">
      <c r="B732" s="28"/>
      <c r="C732" s="28"/>
      <c r="E732" s="55"/>
      <c r="F732" s="55"/>
      <c r="K732" s="55"/>
      <c r="L732" s="55"/>
    </row>
    <row r="733">
      <c r="B733" s="28"/>
      <c r="C733" s="28"/>
      <c r="E733" s="55"/>
      <c r="F733" s="55"/>
      <c r="K733" s="55"/>
      <c r="L733" s="55"/>
    </row>
    <row r="734">
      <c r="B734" s="28"/>
      <c r="C734" s="28"/>
      <c r="E734" s="55"/>
      <c r="F734" s="55"/>
      <c r="K734" s="55"/>
      <c r="L734" s="55"/>
    </row>
    <row r="735">
      <c r="B735" s="28"/>
      <c r="C735" s="28"/>
      <c r="E735" s="55"/>
      <c r="F735" s="55"/>
      <c r="K735" s="55"/>
      <c r="L735" s="55"/>
    </row>
    <row r="736">
      <c r="B736" s="28"/>
      <c r="C736" s="28"/>
      <c r="E736" s="55"/>
      <c r="F736" s="55"/>
      <c r="K736" s="55"/>
      <c r="L736" s="55"/>
    </row>
    <row r="737">
      <c r="B737" s="28"/>
      <c r="C737" s="28"/>
      <c r="E737" s="55"/>
      <c r="F737" s="55"/>
      <c r="K737" s="55"/>
      <c r="L737" s="55"/>
    </row>
    <row r="738">
      <c r="B738" s="28"/>
      <c r="C738" s="28"/>
      <c r="E738" s="55"/>
      <c r="F738" s="55"/>
      <c r="K738" s="55"/>
      <c r="L738" s="55"/>
    </row>
    <row r="739">
      <c r="B739" s="28"/>
      <c r="C739" s="28"/>
      <c r="E739" s="55"/>
      <c r="F739" s="55"/>
      <c r="K739" s="55"/>
      <c r="L739" s="55"/>
    </row>
    <row r="740">
      <c r="B740" s="28"/>
      <c r="C740" s="28"/>
      <c r="E740" s="55"/>
      <c r="F740" s="55"/>
      <c r="K740" s="55"/>
      <c r="L740" s="55"/>
    </row>
    <row r="741">
      <c r="B741" s="28"/>
      <c r="C741" s="28"/>
      <c r="E741" s="55"/>
      <c r="F741" s="55"/>
      <c r="K741" s="55"/>
      <c r="L741" s="55"/>
    </row>
    <row r="742">
      <c r="B742" s="28"/>
      <c r="C742" s="28"/>
      <c r="E742" s="55"/>
      <c r="F742" s="55"/>
      <c r="K742" s="55"/>
      <c r="L742" s="55"/>
    </row>
    <row r="743">
      <c r="B743" s="28"/>
      <c r="C743" s="28"/>
      <c r="E743" s="55"/>
      <c r="F743" s="55"/>
      <c r="K743" s="55"/>
      <c r="L743" s="55"/>
    </row>
    <row r="744">
      <c r="B744" s="28"/>
      <c r="C744" s="28"/>
      <c r="E744" s="55"/>
      <c r="F744" s="55"/>
      <c r="K744" s="55"/>
      <c r="L744" s="55"/>
    </row>
    <row r="745">
      <c r="B745" s="28"/>
      <c r="C745" s="28"/>
      <c r="E745" s="55"/>
      <c r="F745" s="55"/>
      <c r="K745" s="55"/>
      <c r="L745" s="55"/>
    </row>
    <row r="746">
      <c r="B746" s="28"/>
      <c r="C746" s="28"/>
      <c r="E746" s="55"/>
      <c r="F746" s="55"/>
      <c r="K746" s="55"/>
      <c r="L746" s="55"/>
    </row>
    <row r="747">
      <c r="B747" s="28"/>
      <c r="C747" s="28"/>
      <c r="E747" s="55"/>
      <c r="F747" s="55"/>
      <c r="K747" s="55"/>
      <c r="L747" s="55"/>
    </row>
    <row r="748">
      <c r="B748" s="28"/>
      <c r="C748" s="28"/>
      <c r="E748" s="55"/>
      <c r="F748" s="55"/>
      <c r="K748" s="55"/>
      <c r="L748" s="55"/>
    </row>
    <row r="749">
      <c r="B749" s="28"/>
      <c r="C749" s="28"/>
      <c r="E749" s="55"/>
      <c r="F749" s="55"/>
      <c r="K749" s="55"/>
      <c r="L749" s="55"/>
    </row>
    <row r="750">
      <c r="B750" s="28"/>
      <c r="C750" s="28"/>
      <c r="E750" s="55"/>
      <c r="F750" s="55"/>
      <c r="K750" s="55"/>
      <c r="L750" s="55"/>
    </row>
    <row r="751">
      <c r="B751" s="28"/>
      <c r="C751" s="28"/>
      <c r="E751" s="55"/>
      <c r="F751" s="55"/>
      <c r="K751" s="55"/>
      <c r="L751" s="55"/>
    </row>
    <row r="752">
      <c r="B752" s="28"/>
      <c r="C752" s="28"/>
      <c r="E752" s="55"/>
      <c r="F752" s="55"/>
      <c r="K752" s="55"/>
      <c r="L752" s="55"/>
    </row>
    <row r="753">
      <c r="B753" s="28"/>
      <c r="C753" s="28"/>
      <c r="E753" s="55"/>
      <c r="F753" s="55"/>
      <c r="K753" s="55"/>
      <c r="L753" s="55"/>
    </row>
    <row r="754">
      <c r="B754" s="28"/>
      <c r="C754" s="28"/>
      <c r="E754" s="55"/>
      <c r="F754" s="55"/>
      <c r="K754" s="55"/>
      <c r="L754" s="55"/>
    </row>
    <row r="755">
      <c r="B755" s="28"/>
      <c r="C755" s="28"/>
      <c r="E755" s="55"/>
      <c r="F755" s="55"/>
      <c r="K755" s="55"/>
      <c r="L755" s="55"/>
    </row>
    <row r="756">
      <c r="B756" s="28"/>
      <c r="C756" s="28"/>
      <c r="E756" s="55"/>
      <c r="F756" s="55"/>
      <c r="K756" s="55"/>
      <c r="L756" s="55"/>
    </row>
    <row r="757">
      <c r="B757" s="28"/>
      <c r="C757" s="28"/>
      <c r="E757" s="55"/>
      <c r="F757" s="55"/>
      <c r="K757" s="55"/>
      <c r="L757" s="55"/>
    </row>
    <row r="758">
      <c r="B758" s="28"/>
      <c r="C758" s="28"/>
      <c r="E758" s="55"/>
      <c r="F758" s="55"/>
      <c r="K758" s="55"/>
      <c r="L758" s="55"/>
    </row>
    <row r="759">
      <c r="B759" s="28"/>
      <c r="C759" s="28"/>
      <c r="E759" s="55"/>
      <c r="F759" s="55"/>
      <c r="K759" s="55"/>
      <c r="L759" s="55"/>
    </row>
    <row r="760">
      <c r="B760" s="28"/>
      <c r="C760" s="28"/>
      <c r="E760" s="55"/>
      <c r="F760" s="55"/>
      <c r="K760" s="55"/>
      <c r="L760" s="55"/>
    </row>
    <row r="761">
      <c r="B761" s="28"/>
      <c r="C761" s="28"/>
      <c r="E761" s="55"/>
      <c r="F761" s="55"/>
      <c r="K761" s="55"/>
      <c r="L761" s="55"/>
    </row>
    <row r="762">
      <c r="B762" s="28"/>
      <c r="C762" s="28"/>
      <c r="E762" s="55"/>
      <c r="F762" s="55"/>
      <c r="K762" s="55"/>
      <c r="L762" s="55"/>
    </row>
    <row r="763">
      <c r="B763" s="28"/>
      <c r="C763" s="28"/>
      <c r="E763" s="55"/>
      <c r="F763" s="55"/>
      <c r="K763" s="55"/>
      <c r="L763" s="55"/>
    </row>
    <row r="764">
      <c r="B764" s="28"/>
      <c r="C764" s="28"/>
      <c r="E764" s="55"/>
      <c r="F764" s="55"/>
      <c r="K764" s="55"/>
      <c r="L764" s="55"/>
    </row>
    <row r="765">
      <c r="B765" s="28"/>
      <c r="C765" s="28"/>
      <c r="E765" s="55"/>
      <c r="F765" s="55"/>
      <c r="K765" s="55"/>
      <c r="L765" s="55"/>
    </row>
    <row r="766">
      <c r="B766" s="28"/>
      <c r="C766" s="28"/>
      <c r="E766" s="55"/>
      <c r="F766" s="55"/>
      <c r="K766" s="55"/>
      <c r="L766" s="55"/>
    </row>
    <row r="767">
      <c r="B767" s="28"/>
      <c r="C767" s="28"/>
      <c r="E767" s="55"/>
      <c r="F767" s="55"/>
      <c r="K767" s="55"/>
      <c r="L767" s="55"/>
    </row>
    <row r="768">
      <c r="B768" s="28"/>
      <c r="C768" s="28"/>
      <c r="E768" s="55"/>
      <c r="F768" s="55"/>
      <c r="K768" s="55"/>
      <c r="L768" s="55"/>
    </row>
    <row r="769">
      <c r="B769" s="28"/>
      <c r="C769" s="28"/>
      <c r="E769" s="55"/>
      <c r="F769" s="55"/>
      <c r="K769" s="55"/>
      <c r="L769" s="55"/>
    </row>
    <row r="770">
      <c r="B770" s="28"/>
      <c r="C770" s="28"/>
      <c r="E770" s="55"/>
      <c r="F770" s="55"/>
      <c r="K770" s="55"/>
      <c r="L770" s="55"/>
    </row>
    <row r="771">
      <c r="B771" s="28"/>
      <c r="C771" s="28"/>
      <c r="E771" s="55"/>
      <c r="F771" s="55"/>
      <c r="K771" s="55"/>
      <c r="L771" s="55"/>
    </row>
    <row r="772">
      <c r="B772" s="28"/>
      <c r="C772" s="28"/>
      <c r="E772" s="55"/>
      <c r="F772" s="55"/>
      <c r="K772" s="55"/>
      <c r="L772" s="55"/>
    </row>
    <row r="773">
      <c r="B773" s="28"/>
      <c r="C773" s="28"/>
      <c r="E773" s="55"/>
      <c r="F773" s="55"/>
      <c r="K773" s="55"/>
      <c r="L773" s="55"/>
    </row>
    <row r="774">
      <c r="B774" s="28"/>
      <c r="C774" s="28"/>
      <c r="E774" s="55"/>
      <c r="F774" s="55"/>
      <c r="K774" s="55"/>
      <c r="L774" s="55"/>
    </row>
    <row r="775">
      <c r="B775" s="28"/>
      <c r="C775" s="28"/>
      <c r="E775" s="55"/>
      <c r="F775" s="55"/>
      <c r="K775" s="55"/>
      <c r="L775" s="55"/>
    </row>
    <row r="776">
      <c r="B776" s="28"/>
      <c r="C776" s="28"/>
      <c r="E776" s="55"/>
      <c r="F776" s="55"/>
      <c r="K776" s="55"/>
      <c r="L776" s="55"/>
    </row>
    <row r="777">
      <c r="B777" s="28"/>
      <c r="C777" s="28"/>
      <c r="E777" s="55"/>
      <c r="F777" s="55"/>
      <c r="K777" s="55"/>
      <c r="L777" s="55"/>
    </row>
    <row r="778">
      <c r="B778" s="28"/>
      <c r="C778" s="28"/>
      <c r="E778" s="55"/>
      <c r="F778" s="55"/>
      <c r="K778" s="55"/>
      <c r="L778" s="55"/>
    </row>
    <row r="779">
      <c r="B779" s="28"/>
      <c r="C779" s="28"/>
      <c r="E779" s="55"/>
      <c r="F779" s="55"/>
      <c r="K779" s="55"/>
      <c r="L779" s="55"/>
    </row>
    <row r="780">
      <c r="B780" s="28"/>
      <c r="C780" s="28"/>
      <c r="E780" s="55"/>
      <c r="F780" s="55"/>
      <c r="K780" s="55"/>
      <c r="L780" s="55"/>
    </row>
    <row r="781">
      <c r="B781" s="28"/>
      <c r="C781" s="28"/>
      <c r="E781" s="55"/>
      <c r="F781" s="55"/>
      <c r="K781" s="55"/>
      <c r="L781" s="55"/>
    </row>
    <row r="782">
      <c r="B782" s="28"/>
      <c r="C782" s="28"/>
      <c r="E782" s="55"/>
      <c r="F782" s="55"/>
      <c r="K782" s="55"/>
      <c r="L782" s="55"/>
    </row>
    <row r="783">
      <c r="B783" s="28"/>
      <c r="C783" s="28"/>
      <c r="E783" s="55"/>
      <c r="F783" s="55"/>
      <c r="K783" s="55"/>
      <c r="L783" s="55"/>
    </row>
    <row r="784">
      <c r="B784" s="28"/>
      <c r="C784" s="28"/>
      <c r="E784" s="55"/>
      <c r="F784" s="55"/>
      <c r="K784" s="55"/>
      <c r="L784" s="55"/>
    </row>
    <row r="785">
      <c r="B785" s="28"/>
      <c r="C785" s="28"/>
      <c r="E785" s="55"/>
      <c r="F785" s="55"/>
      <c r="K785" s="55"/>
      <c r="L785" s="55"/>
    </row>
    <row r="786">
      <c r="B786" s="28"/>
      <c r="C786" s="28"/>
      <c r="E786" s="55"/>
      <c r="F786" s="55"/>
      <c r="K786" s="55"/>
      <c r="L786" s="55"/>
    </row>
    <row r="787">
      <c r="B787" s="28"/>
      <c r="C787" s="28"/>
      <c r="E787" s="55"/>
      <c r="F787" s="55"/>
      <c r="K787" s="55"/>
      <c r="L787" s="55"/>
    </row>
    <row r="788">
      <c r="B788" s="28"/>
      <c r="C788" s="28"/>
      <c r="E788" s="55"/>
      <c r="F788" s="55"/>
      <c r="K788" s="55"/>
      <c r="L788" s="55"/>
    </row>
    <row r="789">
      <c r="B789" s="28"/>
      <c r="C789" s="28"/>
      <c r="E789" s="55"/>
      <c r="F789" s="55"/>
      <c r="K789" s="55"/>
      <c r="L789" s="55"/>
    </row>
    <row r="790">
      <c r="B790" s="28"/>
      <c r="C790" s="28"/>
      <c r="E790" s="55"/>
      <c r="F790" s="55"/>
      <c r="K790" s="55"/>
      <c r="L790" s="55"/>
    </row>
    <row r="791">
      <c r="B791" s="28"/>
      <c r="C791" s="28"/>
      <c r="E791" s="55"/>
      <c r="F791" s="55"/>
      <c r="K791" s="55"/>
      <c r="L791" s="55"/>
    </row>
    <row r="792">
      <c r="B792" s="28"/>
      <c r="C792" s="28"/>
      <c r="E792" s="55"/>
      <c r="F792" s="55"/>
      <c r="K792" s="55"/>
      <c r="L792" s="55"/>
    </row>
    <row r="793">
      <c r="B793" s="28"/>
      <c r="C793" s="28"/>
      <c r="E793" s="55"/>
      <c r="F793" s="55"/>
      <c r="K793" s="55"/>
      <c r="L793" s="55"/>
    </row>
    <row r="794">
      <c r="B794" s="28"/>
      <c r="C794" s="28"/>
      <c r="E794" s="55"/>
      <c r="F794" s="55"/>
      <c r="K794" s="55"/>
      <c r="L794" s="55"/>
    </row>
    <row r="795">
      <c r="B795" s="28"/>
      <c r="C795" s="28"/>
      <c r="E795" s="55"/>
      <c r="F795" s="55"/>
      <c r="K795" s="55"/>
      <c r="L795" s="55"/>
    </row>
    <row r="796">
      <c r="B796" s="28"/>
      <c r="C796" s="28"/>
      <c r="E796" s="55"/>
      <c r="F796" s="55"/>
      <c r="K796" s="55"/>
      <c r="L796" s="55"/>
    </row>
    <row r="797">
      <c r="B797" s="28"/>
      <c r="C797" s="28"/>
      <c r="E797" s="55"/>
      <c r="F797" s="55"/>
      <c r="K797" s="55"/>
      <c r="L797" s="55"/>
    </row>
    <row r="798">
      <c r="B798" s="28"/>
      <c r="C798" s="28"/>
      <c r="E798" s="55"/>
      <c r="F798" s="55"/>
      <c r="K798" s="55"/>
      <c r="L798" s="55"/>
    </row>
    <row r="799">
      <c r="B799" s="28"/>
      <c r="C799" s="28"/>
      <c r="E799" s="55"/>
      <c r="F799" s="55"/>
      <c r="K799" s="55"/>
      <c r="L799" s="55"/>
    </row>
    <row r="800">
      <c r="B800" s="28"/>
      <c r="C800" s="28"/>
      <c r="E800" s="55"/>
      <c r="F800" s="55"/>
      <c r="K800" s="55"/>
      <c r="L800" s="55"/>
    </row>
    <row r="801">
      <c r="B801" s="28"/>
      <c r="C801" s="28"/>
      <c r="E801" s="55"/>
      <c r="F801" s="55"/>
      <c r="K801" s="55"/>
      <c r="L801" s="55"/>
    </row>
    <row r="802">
      <c r="B802" s="28"/>
      <c r="C802" s="28"/>
      <c r="E802" s="55"/>
      <c r="F802" s="55"/>
      <c r="K802" s="55"/>
      <c r="L802" s="55"/>
    </row>
    <row r="803">
      <c r="B803" s="28"/>
      <c r="C803" s="28"/>
      <c r="E803" s="55"/>
      <c r="F803" s="55"/>
      <c r="K803" s="55"/>
      <c r="L803" s="55"/>
    </row>
    <row r="804">
      <c r="B804" s="28"/>
      <c r="C804" s="28"/>
      <c r="E804" s="55"/>
      <c r="F804" s="55"/>
      <c r="K804" s="55"/>
      <c r="L804" s="55"/>
    </row>
    <row r="805">
      <c r="B805" s="28"/>
      <c r="C805" s="28"/>
      <c r="E805" s="55"/>
      <c r="F805" s="55"/>
      <c r="K805" s="55"/>
      <c r="L805" s="55"/>
    </row>
    <row r="806">
      <c r="B806" s="28"/>
      <c r="C806" s="28"/>
      <c r="E806" s="55"/>
      <c r="F806" s="55"/>
      <c r="K806" s="55"/>
      <c r="L806" s="55"/>
    </row>
    <row r="807">
      <c r="B807" s="28"/>
      <c r="C807" s="28"/>
      <c r="E807" s="55"/>
      <c r="F807" s="55"/>
      <c r="K807" s="55"/>
      <c r="L807" s="55"/>
    </row>
    <row r="808">
      <c r="B808" s="28"/>
      <c r="C808" s="28"/>
      <c r="E808" s="55"/>
      <c r="F808" s="55"/>
      <c r="K808" s="55"/>
      <c r="L808" s="55"/>
    </row>
    <row r="809">
      <c r="B809" s="28"/>
      <c r="C809" s="28"/>
      <c r="E809" s="55"/>
      <c r="F809" s="55"/>
      <c r="K809" s="55"/>
      <c r="L809" s="55"/>
    </row>
    <row r="810">
      <c r="B810" s="28"/>
      <c r="C810" s="28"/>
      <c r="E810" s="55"/>
      <c r="F810" s="55"/>
      <c r="K810" s="55"/>
      <c r="L810" s="55"/>
    </row>
    <row r="811">
      <c r="B811" s="28"/>
      <c r="C811" s="28"/>
      <c r="E811" s="55"/>
      <c r="F811" s="55"/>
      <c r="K811" s="55"/>
      <c r="L811" s="55"/>
    </row>
    <row r="812">
      <c r="B812" s="28"/>
      <c r="C812" s="28"/>
      <c r="E812" s="55"/>
      <c r="F812" s="55"/>
      <c r="K812" s="55"/>
      <c r="L812" s="55"/>
    </row>
    <row r="813">
      <c r="B813" s="28"/>
      <c r="C813" s="28"/>
      <c r="E813" s="55"/>
      <c r="F813" s="55"/>
      <c r="K813" s="55"/>
      <c r="L813" s="55"/>
    </row>
    <row r="814">
      <c r="B814" s="28"/>
      <c r="C814" s="28"/>
      <c r="E814" s="55"/>
      <c r="F814" s="55"/>
      <c r="K814" s="55"/>
      <c r="L814" s="55"/>
    </row>
    <row r="815">
      <c r="B815" s="28"/>
      <c r="C815" s="28"/>
      <c r="E815" s="55"/>
      <c r="F815" s="55"/>
      <c r="K815" s="55"/>
      <c r="L815" s="55"/>
    </row>
    <row r="816">
      <c r="B816" s="28"/>
      <c r="C816" s="28"/>
      <c r="E816" s="55"/>
      <c r="F816" s="55"/>
      <c r="K816" s="55"/>
      <c r="L816" s="55"/>
    </row>
    <row r="817">
      <c r="B817" s="28"/>
      <c r="C817" s="28"/>
      <c r="E817" s="55"/>
      <c r="F817" s="55"/>
      <c r="K817" s="55"/>
      <c r="L817" s="55"/>
    </row>
    <row r="818">
      <c r="B818" s="28"/>
      <c r="C818" s="28"/>
      <c r="E818" s="55"/>
      <c r="F818" s="55"/>
      <c r="K818" s="55"/>
      <c r="L818" s="55"/>
    </row>
    <row r="819">
      <c r="B819" s="28"/>
      <c r="C819" s="28"/>
      <c r="E819" s="55"/>
      <c r="F819" s="55"/>
      <c r="K819" s="55"/>
      <c r="L819" s="55"/>
    </row>
    <row r="820">
      <c r="B820" s="28"/>
      <c r="C820" s="28"/>
      <c r="E820" s="55"/>
      <c r="F820" s="55"/>
      <c r="K820" s="55"/>
      <c r="L820" s="55"/>
    </row>
    <row r="821">
      <c r="B821" s="28"/>
      <c r="C821" s="28"/>
      <c r="E821" s="55"/>
      <c r="F821" s="55"/>
      <c r="K821" s="55"/>
      <c r="L821" s="55"/>
    </row>
    <row r="822">
      <c r="B822" s="28"/>
      <c r="C822" s="28"/>
      <c r="E822" s="55"/>
      <c r="F822" s="55"/>
      <c r="K822" s="55"/>
      <c r="L822" s="55"/>
    </row>
    <row r="823">
      <c r="B823" s="28"/>
      <c r="C823" s="28"/>
      <c r="E823" s="55"/>
      <c r="F823" s="55"/>
      <c r="K823" s="55"/>
      <c r="L823" s="55"/>
    </row>
    <row r="824">
      <c r="B824" s="28"/>
      <c r="C824" s="28"/>
      <c r="E824" s="55"/>
      <c r="F824" s="55"/>
      <c r="K824" s="55"/>
      <c r="L824" s="55"/>
    </row>
    <row r="825">
      <c r="B825" s="28"/>
      <c r="C825" s="28"/>
      <c r="E825" s="55"/>
      <c r="F825" s="55"/>
      <c r="K825" s="55"/>
      <c r="L825" s="55"/>
    </row>
    <row r="826">
      <c r="B826" s="28"/>
      <c r="C826" s="28"/>
      <c r="E826" s="55"/>
      <c r="F826" s="55"/>
      <c r="K826" s="55"/>
      <c r="L826" s="55"/>
    </row>
    <row r="827">
      <c r="B827" s="28"/>
      <c r="C827" s="28"/>
      <c r="E827" s="55"/>
      <c r="F827" s="55"/>
      <c r="K827" s="55"/>
      <c r="L827" s="55"/>
    </row>
    <row r="828">
      <c r="B828" s="28"/>
      <c r="C828" s="28"/>
      <c r="E828" s="55"/>
      <c r="F828" s="55"/>
      <c r="K828" s="55"/>
      <c r="L828" s="55"/>
    </row>
    <row r="829">
      <c r="B829" s="28"/>
      <c r="C829" s="28"/>
      <c r="E829" s="55"/>
      <c r="F829" s="55"/>
      <c r="K829" s="55"/>
      <c r="L829" s="55"/>
    </row>
    <row r="830">
      <c r="B830" s="28"/>
      <c r="C830" s="28"/>
      <c r="E830" s="55"/>
      <c r="F830" s="55"/>
      <c r="K830" s="55"/>
      <c r="L830" s="55"/>
    </row>
    <row r="831">
      <c r="B831" s="28"/>
      <c r="C831" s="28"/>
      <c r="E831" s="55"/>
      <c r="F831" s="55"/>
      <c r="K831" s="55"/>
      <c r="L831" s="55"/>
    </row>
    <row r="832">
      <c r="B832" s="28"/>
      <c r="C832" s="28"/>
      <c r="E832" s="55"/>
      <c r="F832" s="55"/>
      <c r="K832" s="55"/>
      <c r="L832" s="55"/>
    </row>
    <row r="833">
      <c r="B833" s="28"/>
      <c r="C833" s="28"/>
      <c r="E833" s="55"/>
      <c r="F833" s="55"/>
      <c r="K833" s="55"/>
      <c r="L833" s="55"/>
    </row>
    <row r="834">
      <c r="B834" s="28"/>
      <c r="C834" s="28"/>
      <c r="E834" s="55"/>
      <c r="F834" s="55"/>
      <c r="K834" s="55"/>
      <c r="L834" s="55"/>
    </row>
    <row r="835">
      <c r="B835" s="28"/>
      <c r="C835" s="28"/>
      <c r="E835" s="55"/>
      <c r="F835" s="55"/>
      <c r="K835" s="55"/>
      <c r="L835" s="55"/>
    </row>
    <row r="836">
      <c r="B836" s="28"/>
      <c r="C836" s="28"/>
      <c r="E836" s="55"/>
      <c r="F836" s="55"/>
      <c r="K836" s="55"/>
      <c r="L836" s="55"/>
    </row>
    <row r="837">
      <c r="B837" s="28"/>
      <c r="C837" s="28"/>
      <c r="E837" s="55"/>
      <c r="F837" s="55"/>
      <c r="K837" s="55"/>
      <c r="L837" s="55"/>
    </row>
    <row r="838">
      <c r="B838" s="28"/>
      <c r="C838" s="28"/>
      <c r="E838" s="55"/>
      <c r="F838" s="55"/>
      <c r="K838" s="55"/>
      <c r="L838" s="55"/>
    </row>
    <row r="839">
      <c r="B839" s="28"/>
      <c r="C839" s="28"/>
      <c r="E839" s="55"/>
      <c r="F839" s="55"/>
      <c r="K839" s="55"/>
      <c r="L839" s="55"/>
    </row>
    <row r="840">
      <c r="B840" s="28"/>
      <c r="C840" s="28"/>
      <c r="E840" s="55"/>
      <c r="F840" s="55"/>
      <c r="K840" s="55"/>
      <c r="L840" s="55"/>
    </row>
    <row r="841">
      <c r="B841" s="28"/>
      <c r="C841" s="28"/>
      <c r="E841" s="55"/>
      <c r="F841" s="55"/>
      <c r="K841" s="55"/>
      <c r="L841" s="55"/>
    </row>
    <row r="842">
      <c r="B842" s="28"/>
      <c r="C842" s="28"/>
      <c r="E842" s="55"/>
      <c r="F842" s="55"/>
      <c r="K842" s="55"/>
      <c r="L842" s="55"/>
    </row>
    <row r="843">
      <c r="B843" s="28"/>
      <c r="C843" s="28"/>
      <c r="E843" s="55"/>
      <c r="F843" s="55"/>
      <c r="K843" s="55"/>
      <c r="L843" s="55"/>
    </row>
    <row r="844">
      <c r="B844" s="28"/>
      <c r="C844" s="28"/>
      <c r="E844" s="55"/>
      <c r="F844" s="55"/>
      <c r="K844" s="55"/>
      <c r="L844" s="55"/>
    </row>
    <row r="845">
      <c r="B845" s="28"/>
      <c r="C845" s="28"/>
      <c r="E845" s="55"/>
      <c r="F845" s="55"/>
      <c r="K845" s="55"/>
      <c r="L845" s="55"/>
    </row>
    <row r="846">
      <c r="B846" s="28"/>
      <c r="C846" s="28"/>
      <c r="E846" s="55"/>
      <c r="F846" s="55"/>
      <c r="K846" s="55"/>
      <c r="L846" s="55"/>
    </row>
    <row r="847">
      <c r="B847" s="28"/>
      <c r="C847" s="28"/>
      <c r="E847" s="55"/>
      <c r="F847" s="55"/>
      <c r="K847" s="55"/>
      <c r="L847" s="55"/>
    </row>
    <row r="848">
      <c r="B848" s="28"/>
      <c r="C848" s="28"/>
      <c r="E848" s="55"/>
      <c r="F848" s="55"/>
      <c r="K848" s="55"/>
      <c r="L848" s="55"/>
    </row>
    <row r="849">
      <c r="B849" s="28"/>
      <c r="C849" s="28"/>
      <c r="E849" s="55"/>
      <c r="F849" s="55"/>
      <c r="K849" s="55"/>
      <c r="L849" s="55"/>
    </row>
    <row r="850">
      <c r="B850" s="28"/>
      <c r="C850" s="28"/>
      <c r="E850" s="55"/>
      <c r="F850" s="55"/>
      <c r="K850" s="55"/>
      <c r="L850" s="55"/>
    </row>
    <row r="851">
      <c r="B851" s="28"/>
      <c r="C851" s="28"/>
      <c r="E851" s="55"/>
      <c r="F851" s="55"/>
      <c r="K851" s="55"/>
      <c r="L851" s="55"/>
    </row>
    <row r="852">
      <c r="B852" s="28"/>
      <c r="C852" s="28"/>
      <c r="E852" s="55"/>
      <c r="F852" s="55"/>
      <c r="K852" s="55"/>
      <c r="L852" s="55"/>
    </row>
    <row r="853">
      <c r="B853" s="28"/>
      <c r="C853" s="28"/>
      <c r="E853" s="55"/>
      <c r="F853" s="55"/>
      <c r="K853" s="55"/>
      <c r="L853" s="55"/>
    </row>
    <row r="854">
      <c r="B854" s="28"/>
      <c r="C854" s="28"/>
      <c r="E854" s="55"/>
      <c r="F854" s="55"/>
      <c r="K854" s="55"/>
      <c r="L854" s="55"/>
    </row>
    <row r="855">
      <c r="B855" s="28"/>
      <c r="C855" s="28"/>
      <c r="E855" s="55"/>
      <c r="F855" s="55"/>
      <c r="K855" s="55"/>
      <c r="L855" s="55"/>
    </row>
    <row r="856">
      <c r="B856" s="28"/>
      <c r="C856" s="28"/>
      <c r="E856" s="55"/>
      <c r="F856" s="55"/>
      <c r="K856" s="55"/>
      <c r="L856" s="55"/>
    </row>
    <row r="857">
      <c r="B857" s="28"/>
      <c r="C857" s="28"/>
      <c r="E857" s="55"/>
      <c r="F857" s="55"/>
      <c r="K857" s="55"/>
      <c r="L857" s="55"/>
    </row>
    <row r="858">
      <c r="B858" s="28"/>
      <c r="C858" s="28"/>
      <c r="E858" s="55"/>
      <c r="F858" s="55"/>
      <c r="K858" s="55"/>
      <c r="L858" s="55"/>
    </row>
    <row r="859">
      <c r="B859" s="28"/>
      <c r="C859" s="28"/>
      <c r="E859" s="55"/>
      <c r="F859" s="55"/>
      <c r="K859" s="55"/>
      <c r="L859" s="55"/>
    </row>
    <row r="860">
      <c r="B860" s="28"/>
      <c r="C860" s="28"/>
      <c r="E860" s="55"/>
      <c r="F860" s="55"/>
      <c r="K860" s="55"/>
      <c r="L860" s="55"/>
    </row>
    <row r="861">
      <c r="B861" s="28"/>
      <c r="C861" s="28"/>
      <c r="E861" s="55"/>
      <c r="F861" s="55"/>
      <c r="K861" s="55"/>
      <c r="L861" s="55"/>
    </row>
    <row r="862">
      <c r="B862" s="28"/>
      <c r="C862" s="28"/>
      <c r="E862" s="55"/>
      <c r="F862" s="55"/>
      <c r="K862" s="55"/>
      <c r="L862" s="55"/>
    </row>
    <row r="863">
      <c r="B863" s="28"/>
      <c r="C863" s="28"/>
      <c r="E863" s="55"/>
      <c r="F863" s="55"/>
      <c r="K863" s="55"/>
      <c r="L863" s="55"/>
    </row>
    <row r="864">
      <c r="B864" s="28"/>
      <c r="C864" s="28"/>
      <c r="E864" s="55"/>
      <c r="F864" s="55"/>
      <c r="K864" s="55"/>
      <c r="L864" s="55"/>
    </row>
    <row r="865">
      <c r="B865" s="28"/>
      <c r="C865" s="28"/>
      <c r="E865" s="55"/>
      <c r="F865" s="55"/>
      <c r="K865" s="55"/>
      <c r="L865" s="55"/>
    </row>
    <row r="866">
      <c r="B866" s="28"/>
      <c r="C866" s="28"/>
      <c r="E866" s="55"/>
      <c r="F866" s="55"/>
      <c r="K866" s="55"/>
      <c r="L866" s="55"/>
    </row>
    <row r="867">
      <c r="B867" s="28"/>
      <c r="C867" s="28"/>
      <c r="E867" s="55"/>
      <c r="F867" s="55"/>
      <c r="K867" s="55"/>
      <c r="L867" s="55"/>
    </row>
    <row r="868">
      <c r="B868" s="28"/>
      <c r="C868" s="28"/>
      <c r="E868" s="55"/>
      <c r="F868" s="55"/>
      <c r="K868" s="55"/>
      <c r="L868" s="55"/>
    </row>
    <row r="869">
      <c r="B869" s="28"/>
      <c r="C869" s="28"/>
      <c r="E869" s="55"/>
      <c r="F869" s="55"/>
      <c r="K869" s="55"/>
      <c r="L869" s="55"/>
    </row>
    <row r="870">
      <c r="B870" s="28"/>
      <c r="C870" s="28"/>
      <c r="E870" s="55"/>
      <c r="F870" s="55"/>
      <c r="K870" s="55"/>
      <c r="L870" s="55"/>
    </row>
    <row r="871">
      <c r="B871" s="28"/>
      <c r="C871" s="28"/>
      <c r="E871" s="55"/>
      <c r="F871" s="55"/>
      <c r="K871" s="55"/>
      <c r="L871" s="55"/>
    </row>
    <row r="872">
      <c r="B872" s="28"/>
      <c r="C872" s="28"/>
      <c r="E872" s="55"/>
      <c r="F872" s="55"/>
      <c r="K872" s="55"/>
      <c r="L872" s="55"/>
    </row>
    <row r="873">
      <c r="B873" s="28"/>
      <c r="C873" s="28"/>
      <c r="E873" s="55"/>
      <c r="F873" s="55"/>
      <c r="K873" s="55"/>
      <c r="L873" s="55"/>
    </row>
    <row r="874">
      <c r="B874" s="28"/>
      <c r="C874" s="28"/>
      <c r="E874" s="55"/>
      <c r="F874" s="55"/>
      <c r="K874" s="55"/>
      <c r="L874" s="55"/>
    </row>
    <row r="875">
      <c r="B875" s="28"/>
      <c r="C875" s="28"/>
      <c r="E875" s="55"/>
      <c r="F875" s="55"/>
      <c r="K875" s="55"/>
      <c r="L875" s="55"/>
    </row>
    <row r="876">
      <c r="B876" s="28"/>
      <c r="C876" s="28"/>
      <c r="E876" s="55"/>
      <c r="F876" s="55"/>
      <c r="K876" s="55"/>
      <c r="L876" s="55"/>
    </row>
    <row r="877">
      <c r="B877" s="28"/>
      <c r="C877" s="28"/>
      <c r="E877" s="55"/>
      <c r="F877" s="55"/>
      <c r="K877" s="55"/>
      <c r="L877" s="55"/>
    </row>
    <row r="878">
      <c r="B878" s="28"/>
      <c r="C878" s="28"/>
      <c r="E878" s="55"/>
      <c r="F878" s="55"/>
      <c r="K878" s="55"/>
      <c r="L878" s="55"/>
    </row>
    <row r="879">
      <c r="B879" s="28"/>
      <c r="C879" s="28"/>
      <c r="E879" s="55"/>
      <c r="F879" s="55"/>
      <c r="K879" s="55"/>
      <c r="L879" s="55"/>
    </row>
    <row r="880">
      <c r="B880" s="28"/>
      <c r="C880" s="28"/>
      <c r="E880" s="55"/>
      <c r="F880" s="55"/>
      <c r="K880" s="55"/>
      <c r="L880" s="55"/>
    </row>
    <row r="881">
      <c r="B881" s="28"/>
      <c r="C881" s="28"/>
      <c r="E881" s="55"/>
      <c r="F881" s="55"/>
      <c r="K881" s="55"/>
      <c r="L881" s="55"/>
    </row>
    <row r="882">
      <c r="B882" s="28"/>
      <c r="C882" s="28"/>
      <c r="E882" s="55"/>
      <c r="F882" s="55"/>
      <c r="K882" s="55"/>
      <c r="L882" s="55"/>
    </row>
    <row r="883">
      <c r="B883" s="28"/>
      <c r="C883" s="28"/>
      <c r="E883" s="55"/>
      <c r="F883" s="55"/>
      <c r="K883" s="55"/>
      <c r="L883" s="55"/>
    </row>
    <row r="884">
      <c r="B884" s="28"/>
      <c r="C884" s="28"/>
      <c r="E884" s="55"/>
      <c r="F884" s="55"/>
      <c r="K884" s="55"/>
      <c r="L884" s="55"/>
    </row>
    <row r="885">
      <c r="B885" s="28"/>
      <c r="C885" s="28"/>
      <c r="E885" s="55"/>
      <c r="F885" s="55"/>
      <c r="K885" s="55"/>
      <c r="L885" s="55"/>
    </row>
    <row r="886">
      <c r="B886" s="28"/>
      <c r="C886" s="28"/>
      <c r="E886" s="55"/>
      <c r="F886" s="55"/>
      <c r="K886" s="55"/>
      <c r="L886" s="55"/>
    </row>
    <row r="887">
      <c r="B887" s="28"/>
      <c r="C887" s="28"/>
      <c r="E887" s="55"/>
      <c r="F887" s="55"/>
      <c r="K887" s="55"/>
      <c r="L887" s="55"/>
    </row>
    <row r="888">
      <c r="B888" s="28"/>
      <c r="C888" s="28"/>
      <c r="E888" s="55"/>
      <c r="F888" s="55"/>
      <c r="K888" s="55"/>
      <c r="L888" s="55"/>
    </row>
    <row r="889">
      <c r="B889" s="28"/>
      <c r="C889" s="28"/>
      <c r="E889" s="55"/>
      <c r="F889" s="55"/>
      <c r="K889" s="55"/>
      <c r="L889" s="55"/>
    </row>
    <row r="890">
      <c r="B890" s="28"/>
      <c r="C890" s="28"/>
      <c r="E890" s="55"/>
      <c r="F890" s="55"/>
      <c r="K890" s="55"/>
      <c r="L890" s="55"/>
    </row>
    <row r="891">
      <c r="B891" s="28"/>
      <c r="C891" s="28"/>
      <c r="E891" s="55"/>
      <c r="F891" s="55"/>
      <c r="K891" s="55"/>
      <c r="L891" s="55"/>
    </row>
    <row r="892">
      <c r="B892" s="28"/>
      <c r="C892" s="28"/>
      <c r="E892" s="55"/>
      <c r="F892" s="55"/>
      <c r="K892" s="55"/>
      <c r="L892" s="55"/>
    </row>
    <row r="893">
      <c r="B893" s="28"/>
      <c r="C893" s="28"/>
      <c r="E893" s="55"/>
      <c r="F893" s="55"/>
      <c r="K893" s="55"/>
      <c r="L893" s="55"/>
    </row>
    <row r="894">
      <c r="B894" s="28"/>
      <c r="C894" s="28"/>
      <c r="E894" s="55"/>
      <c r="F894" s="55"/>
      <c r="K894" s="55"/>
      <c r="L894" s="55"/>
    </row>
    <row r="895">
      <c r="B895" s="28"/>
      <c r="C895" s="28"/>
      <c r="E895" s="55"/>
      <c r="F895" s="55"/>
      <c r="K895" s="55"/>
      <c r="L895" s="55"/>
    </row>
    <row r="896">
      <c r="B896" s="28"/>
      <c r="C896" s="28"/>
      <c r="E896" s="55"/>
      <c r="F896" s="55"/>
      <c r="K896" s="55"/>
      <c r="L896" s="55"/>
    </row>
    <row r="897">
      <c r="B897" s="28"/>
      <c r="C897" s="28"/>
      <c r="E897" s="55"/>
      <c r="F897" s="55"/>
      <c r="K897" s="55"/>
      <c r="L897" s="55"/>
    </row>
    <row r="898">
      <c r="B898" s="28"/>
      <c r="C898" s="28"/>
      <c r="E898" s="55"/>
      <c r="F898" s="55"/>
      <c r="K898" s="55"/>
      <c r="L898" s="55"/>
    </row>
    <row r="899">
      <c r="B899" s="28"/>
      <c r="C899" s="28"/>
      <c r="E899" s="55"/>
      <c r="F899" s="55"/>
      <c r="K899" s="55"/>
      <c r="L899" s="55"/>
    </row>
    <row r="900">
      <c r="B900" s="28"/>
      <c r="C900" s="28"/>
      <c r="E900" s="55"/>
      <c r="F900" s="55"/>
      <c r="K900" s="55"/>
      <c r="L900" s="55"/>
    </row>
    <row r="901">
      <c r="B901" s="28"/>
      <c r="C901" s="28"/>
      <c r="E901" s="55"/>
      <c r="F901" s="55"/>
      <c r="K901" s="55"/>
      <c r="L901" s="55"/>
    </row>
    <row r="902">
      <c r="B902" s="28"/>
      <c r="C902" s="28"/>
      <c r="E902" s="55"/>
      <c r="F902" s="55"/>
      <c r="K902" s="55"/>
      <c r="L902" s="55"/>
    </row>
    <row r="903">
      <c r="B903" s="28"/>
      <c r="C903" s="28"/>
      <c r="E903" s="55"/>
      <c r="F903" s="55"/>
      <c r="K903" s="55"/>
      <c r="L903" s="55"/>
    </row>
    <row r="904">
      <c r="B904" s="28"/>
      <c r="C904" s="28"/>
      <c r="E904" s="55"/>
      <c r="F904" s="55"/>
      <c r="K904" s="55"/>
      <c r="L904" s="55"/>
    </row>
    <row r="905">
      <c r="B905" s="28"/>
      <c r="C905" s="28"/>
      <c r="E905" s="55"/>
      <c r="F905" s="55"/>
      <c r="K905" s="55"/>
      <c r="L905" s="55"/>
    </row>
    <row r="906">
      <c r="B906" s="28"/>
      <c r="C906" s="28"/>
      <c r="E906" s="55"/>
      <c r="F906" s="55"/>
      <c r="K906" s="55"/>
      <c r="L906" s="55"/>
    </row>
    <row r="907">
      <c r="B907" s="28"/>
      <c r="C907" s="28"/>
      <c r="E907" s="55"/>
      <c r="F907" s="55"/>
      <c r="K907" s="55"/>
      <c r="L907" s="55"/>
    </row>
    <row r="908">
      <c r="B908" s="28"/>
      <c r="C908" s="28"/>
      <c r="E908" s="55"/>
      <c r="F908" s="55"/>
      <c r="K908" s="55"/>
      <c r="L908" s="55"/>
    </row>
    <row r="909">
      <c r="B909" s="28"/>
      <c r="C909" s="28"/>
      <c r="E909" s="55"/>
      <c r="F909" s="55"/>
      <c r="K909" s="55"/>
      <c r="L909" s="55"/>
    </row>
    <row r="910">
      <c r="B910" s="28"/>
      <c r="C910" s="28"/>
      <c r="E910" s="55"/>
      <c r="F910" s="55"/>
      <c r="K910" s="55"/>
      <c r="L910" s="55"/>
    </row>
    <row r="911">
      <c r="B911" s="28"/>
      <c r="C911" s="28"/>
      <c r="E911" s="55"/>
      <c r="F911" s="55"/>
      <c r="K911" s="55"/>
      <c r="L911" s="55"/>
    </row>
    <row r="912">
      <c r="B912" s="28"/>
      <c r="C912" s="28"/>
      <c r="E912" s="55"/>
      <c r="F912" s="55"/>
      <c r="K912" s="55"/>
      <c r="L912" s="55"/>
    </row>
    <row r="913">
      <c r="B913" s="28"/>
      <c r="C913" s="28"/>
      <c r="E913" s="55"/>
      <c r="F913" s="55"/>
      <c r="K913" s="55"/>
      <c r="L913" s="55"/>
    </row>
    <row r="914">
      <c r="B914" s="28"/>
      <c r="C914" s="28"/>
      <c r="E914" s="55"/>
      <c r="F914" s="55"/>
      <c r="K914" s="55"/>
      <c r="L914" s="55"/>
    </row>
    <row r="915">
      <c r="B915" s="28"/>
      <c r="C915" s="28"/>
      <c r="E915" s="55"/>
      <c r="F915" s="55"/>
      <c r="K915" s="55"/>
      <c r="L915" s="55"/>
    </row>
    <row r="916">
      <c r="B916" s="28"/>
      <c r="C916" s="28"/>
      <c r="E916" s="55"/>
      <c r="F916" s="55"/>
      <c r="K916" s="55"/>
      <c r="L916" s="55"/>
    </row>
    <row r="917">
      <c r="B917" s="28"/>
      <c r="C917" s="28"/>
      <c r="E917" s="55"/>
      <c r="F917" s="55"/>
      <c r="K917" s="55"/>
      <c r="L917" s="55"/>
    </row>
    <row r="918">
      <c r="B918" s="28"/>
      <c r="C918" s="28"/>
      <c r="E918" s="55"/>
      <c r="F918" s="55"/>
      <c r="K918" s="55"/>
      <c r="L918" s="55"/>
    </row>
    <row r="919">
      <c r="B919" s="28"/>
      <c r="C919" s="28"/>
      <c r="E919" s="55"/>
      <c r="F919" s="55"/>
      <c r="K919" s="55"/>
      <c r="L919" s="55"/>
    </row>
    <row r="920">
      <c r="B920" s="28"/>
      <c r="C920" s="28"/>
      <c r="E920" s="55"/>
      <c r="F920" s="55"/>
      <c r="K920" s="55"/>
      <c r="L920" s="55"/>
    </row>
    <row r="921">
      <c r="B921" s="28"/>
      <c r="C921" s="28"/>
      <c r="E921" s="55"/>
      <c r="F921" s="55"/>
      <c r="K921" s="55"/>
      <c r="L921" s="55"/>
    </row>
    <row r="922">
      <c r="B922" s="28"/>
      <c r="C922" s="28"/>
      <c r="E922" s="55"/>
      <c r="F922" s="55"/>
      <c r="K922" s="55"/>
      <c r="L922" s="55"/>
    </row>
    <row r="923">
      <c r="B923" s="28"/>
      <c r="C923" s="28"/>
      <c r="E923" s="55"/>
      <c r="F923" s="55"/>
      <c r="K923" s="55"/>
      <c r="L923" s="55"/>
    </row>
    <row r="924">
      <c r="B924" s="28"/>
      <c r="C924" s="28"/>
      <c r="E924" s="55"/>
      <c r="F924" s="55"/>
      <c r="K924" s="55"/>
      <c r="L924" s="55"/>
    </row>
    <row r="925">
      <c r="B925" s="28"/>
      <c r="C925" s="28"/>
      <c r="E925" s="55"/>
      <c r="F925" s="55"/>
      <c r="K925" s="55"/>
      <c r="L925" s="55"/>
    </row>
    <row r="926">
      <c r="B926" s="28"/>
      <c r="C926" s="28"/>
      <c r="E926" s="55"/>
      <c r="F926" s="55"/>
      <c r="K926" s="55"/>
      <c r="L926" s="55"/>
    </row>
    <row r="927">
      <c r="B927" s="28"/>
      <c r="C927" s="28"/>
      <c r="E927" s="55"/>
      <c r="F927" s="55"/>
      <c r="K927" s="55"/>
      <c r="L927" s="55"/>
    </row>
    <row r="928">
      <c r="B928" s="28"/>
      <c r="C928" s="28"/>
      <c r="E928" s="55"/>
      <c r="F928" s="55"/>
      <c r="K928" s="55"/>
      <c r="L928" s="55"/>
    </row>
    <row r="929">
      <c r="B929" s="28"/>
      <c r="C929" s="28"/>
      <c r="E929" s="55"/>
      <c r="F929" s="55"/>
      <c r="K929" s="55"/>
      <c r="L929" s="55"/>
    </row>
    <row r="930">
      <c r="B930" s="28"/>
      <c r="C930" s="28"/>
      <c r="E930" s="55"/>
      <c r="F930" s="55"/>
      <c r="K930" s="55"/>
      <c r="L930" s="55"/>
    </row>
    <row r="931">
      <c r="B931" s="28"/>
      <c r="C931" s="28"/>
      <c r="E931" s="55"/>
      <c r="F931" s="55"/>
      <c r="K931" s="55"/>
      <c r="L931" s="55"/>
    </row>
    <row r="932">
      <c r="B932" s="28"/>
      <c r="C932" s="28"/>
      <c r="E932" s="55"/>
      <c r="F932" s="55"/>
      <c r="K932" s="55"/>
      <c r="L932" s="55"/>
    </row>
    <row r="933">
      <c r="B933" s="28"/>
      <c r="C933" s="28"/>
      <c r="E933" s="55"/>
      <c r="F933" s="55"/>
      <c r="K933" s="55"/>
      <c r="L933" s="55"/>
    </row>
    <row r="934">
      <c r="B934" s="28"/>
      <c r="C934" s="28"/>
      <c r="E934" s="55"/>
      <c r="F934" s="55"/>
      <c r="K934" s="55"/>
      <c r="L934" s="55"/>
    </row>
    <row r="935">
      <c r="B935" s="28"/>
      <c r="C935" s="28"/>
      <c r="E935" s="55"/>
      <c r="F935" s="55"/>
      <c r="K935" s="55"/>
      <c r="L935" s="55"/>
    </row>
    <row r="936">
      <c r="B936" s="28"/>
      <c r="C936" s="28"/>
      <c r="E936" s="55"/>
      <c r="F936" s="55"/>
      <c r="K936" s="55"/>
      <c r="L936" s="55"/>
    </row>
    <row r="937">
      <c r="B937" s="28"/>
      <c r="C937" s="28"/>
      <c r="E937" s="55"/>
      <c r="F937" s="55"/>
      <c r="K937" s="55"/>
      <c r="L937" s="55"/>
    </row>
    <row r="938">
      <c r="B938" s="28"/>
      <c r="C938" s="28"/>
      <c r="E938" s="55"/>
      <c r="F938" s="55"/>
      <c r="K938" s="55"/>
      <c r="L938" s="55"/>
    </row>
    <row r="939">
      <c r="B939" s="28"/>
      <c r="C939" s="28"/>
      <c r="E939" s="55"/>
      <c r="F939" s="55"/>
      <c r="K939" s="55"/>
      <c r="L939" s="55"/>
    </row>
    <row r="940">
      <c r="B940" s="28"/>
      <c r="C940" s="28"/>
      <c r="E940" s="55"/>
      <c r="F940" s="55"/>
      <c r="K940" s="55"/>
      <c r="L940" s="55"/>
    </row>
    <row r="941">
      <c r="B941" s="28"/>
      <c r="C941" s="28"/>
      <c r="E941" s="55"/>
      <c r="F941" s="55"/>
      <c r="K941" s="55"/>
      <c r="L941" s="55"/>
    </row>
    <row r="942">
      <c r="B942" s="28"/>
      <c r="C942" s="28"/>
      <c r="E942" s="55"/>
      <c r="F942" s="55"/>
      <c r="K942" s="55"/>
      <c r="L942" s="55"/>
    </row>
    <row r="943">
      <c r="B943" s="28"/>
      <c r="C943" s="28"/>
      <c r="E943" s="55"/>
      <c r="F943" s="55"/>
      <c r="K943" s="55"/>
      <c r="L943" s="55"/>
    </row>
    <row r="944">
      <c r="B944" s="28"/>
      <c r="C944" s="28"/>
      <c r="E944" s="55"/>
      <c r="F944" s="55"/>
      <c r="K944" s="55"/>
      <c r="L944" s="55"/>
    </row>
    <row r="945">
      <c r="B945" s="28"/>
      <c r="C945" s="28"/>
      <c r="E945" s="55"/>
      <c r="F945" s="55"/>
      <c r="K945" s="55"/>
      <c r="L945" s="55"/>
    </row>
    <row r="946">
      <c r="B946" s="28"/>
      <c r="C946" s="28"/>
      <c r="E946" s="55"/>
      <c r="F946" s="55"/>
      <c r="K946" s="55"/>
      <c r="L946" s="55"/>
    </row>
    <row r="947">
      <c r="B947" s="28"/>
      <c r="C947" s="28"/>
      <c r="E947" s="55"/>
      <c r="F947" s="55"/>
      <c r="K947" s="55"/>
      <c r="L947" s="55"/>
    </row>
    <row r="948">
      <c r="B948" s="28"/>
      <c r="C948" s="28"/>
      <c r="E948" s="55"/>
      <c r="F948" s="55"/>
      <c r="K948" s="55"/>
      <c r="L948" s="55"/>
    </row>
    <row r="949">
      <c r="B949" s="28"/>
      <c r="C949" s="28"/>
      <c r="E949" s="55"/>
      <c r="F949" s="55"/>
      <c r="K949" s="55"/>
      <c r="L949" s="55"/>
    </row>
    <row r="950">
      <c r="B950" s="28"/>
      <c r="C950" s="28"/>
      <c r="E950" s="55"/>
      <c r="F950" s="55"/>
      <c r="K950" s="55"/>
      <c r="L950" s="55"/>
    </row>
    <row r="951">
      <c r="B951" s="28"/>
      <c r="C951" s="28"/>
      <c r="E951" s="55"/>
      <c r="F951" s="55"/>
      <c r="K951" s="55"/>
      <c r="L951" s="55"/>
    </row>
    <row r="952">
      <c r="B952" s="28"/>
      <c r="C952" s="28"/>
      <c r="E952" s="55"/>
      <c r="F952" s="55"/>
      <c r="K952" s="55"/>
      <c r="L952" s="55"/>
    </row>
    <row r="953">
      <c r="B953" s="28"/>
      <c r="C953" s="28"/>
      <c r="E953" s="55"/>
      <c r="F953" s="55"/>
      <c r="K953" s="55"/>
      <c r="L953" s="55"/>
    </row>
    <row r="954">
      <c r="B954" s="28"/>
      <c r="C954" s="28"/>
      <c r="E954" s="55"/>
      <c r="F954" s="55"/>
      <c r="K954" s="55"/>
      <c r="L954" s="55"/>
    </row>
    <row r="955">
      <c r="B955" s="28"/>
      <c r="C955" s="28"/>
      <c r="E955" s="55"/>
      <c r="F955" s="55"/>
      <c r="K955" s="55"/>
      <c r="L955" s="55"/>
    </row>
    <row r="956">
      <c r="B956" s="28"/>
      <c r="C956" s="28"/>
      <c r="E956" s="55"/>
      <c r="F956" s="55"/>
      <c r="K956" s="55"/>
      <c r="L956" s="55"/>
    </row>
    <row r="957">
      <c r="B957" s="28"/>
      <c r="C957" s="28"/>
      <c r="E957" s="55"/>
      <c r="F957" s="55"/>
      <c r="K957" s="55"/>
      <c r="L957" s="55"/>
    </row>
    <row r="958">
      <c r="B958" s="28"/>
      <c r="C958" s="28"/>
      <c r="E958" s="55"/>
      <c r="F958" s="55"/>
      <c r="K958" s="55"/>
      <c r="L958" s="55"/>
    </row>
    <row r="959">
      <c r="B959" s="28"/>
      <c r="C959" s="28"/>
      <c r="E959" s="55"/>
      <c r="F959" s="55"/>
      <c r="K959" s="55"/>
      <c r="L959" s="55"/>
    </row>
    <row r="960">
      <c r="B960" s="28"/>
      <c r="C960" s="28"/>
      <c r="E960" s="55"/>
      <c r="F960" s="55"/>
      <c r="K960" s="55"/>
      <c r="L960" s="55"/>
    </row>
    <row r="961">
      <c r="B961" s="28"/>
      <c r="C961" s="28"/>
      <c r="E961" s="55"/>
      <c r="F961" s="55"/>
      <c r="K961" s="55"/>
      <c r="L961" s="55"/>
    </row>
    <row r="962">
      <c r="B962" s="28"/>
      <c r="C962" s="28"/>
      <c r="E962" s="55"/>
      <c r="F962" s="55"/>
      <c r="K962" s="55"/>
      <c r="L962" s="55"/>
    </row>
    <row r="963">
      <c r="B963" s="28"/>
      <c r="C963" s="28"/>
      <c r="E963" s="55"/>
      <c r="F963" s="55"/>
      <c r="K963" s="55"/>
      <c r="L963" s="55"/>
    </row>
    <row r="964">
      <c r="B964" s="28"/>
      <c r="C964" s="28"/>
      <c r="E964" s="55"/>
      <c r="F964" s="55"/>
      <c r="K964" s="55"/>
      <c r="L964" s="55"/>
    </row>
    <row r="965">
      <c r="B965" s="28"/>
      <c r="C965" s="28"/>
      <c r="E965" s="55"/>
      <c r="F965" s="55"/>
      <c r="K965" s="55"/>
      <c r="L965" s="55"/>
    </row>
    <row r="966">
      <c r="B966" s="28"/>
      <c r="C966" s="28"/>
      <c r="E966" s="55"/>
      <c r="F966" s="55"/>
      <c r="K966" s="55"/>
      <c r="L966" s="55"/>
    </row>
    <row r="967">
      <c r="B967" s="28"/>
      <c r="C967" s="28"/>
      <c r="E967" s="55"/>
      <c r="F967" s="55"/>
      <c r="K967" s="55"/>
      <c r="L967" s="55"/>
    </row>
    <row r="968">
      <c r="B968" s="28"/>
      <c r="C968" s="28"/>
      <c r="E968" s="55"/>
      <c r="F968" s="55"/>
      <c r="K968" s="55"/>
      <c r="L968" s="55"/>
    </row>
    <row r="969">
      <c r="B969" s="28"/>
      <c r="C969" s="28"/>
      <c r="E969" s="55"/>
      <c r="F969" s="55"/>
      <c r="K969" s="55"/>
      <c r="L969" s="55"/>
    </row>
    <row r="970">
      <c r="B970" s="28"/>
      <c r="C970" s="28"/>
      <c r="E970" s="55"/>
      <c r="F970" s="55"/>
      <c r="K970" s="55"/>
      <c r="L970" s="55"/>
    </row>
    <row r="971">
      <c r="B971" s="28"/>
      <c r="C971" s="28"/>
      <c r="E971" s="55"/>
      <c r="F971" s="55"/>
      <c r="K971" s="55"/>
      <c r="L971" s="55"/>
    </row>
    <row r="972">
      <c r="B972" s="28"/>
      <c r="C972" s="28"/>
      <c r="E972" s="55"/>
      <c r="F972" s="55"/>
      <c r="K972" s="55"/>
      <c r="L972" s="55"/>
    </row>
    <row r="973">
      <c r="B973" s="28"/>
      <c r="C973" s="28"/>
      <c r="E973" s="55"/>
      <c r="F973" s="55"/>
      <c r="K973" s="55"/>
      <c r="L973" s="55"/>
    </row>
    <row r="974">
      <c r="B974" s="28"/>
      <c r="C974" s="28"/>
      <c r="E974" s="55"/>
      <c r="F974" s="55"/>
      <c r="K974" s="55"/>
      <c r="L974" s="55"/>
    </row>
    <row r="975">
      <c r="B975" s="28"/>
      <c r="C975" s="28"/>
      <c r="E975" s="55"/>
      <c r="F975" s="55"/>
      <c r="K975" s="55"/>
      <c r="L975" s="55"/>
    </row>
    <row r="976">
      <c r="B976" s="28"/>
      <c r="C976" s="28"/>
      <c r="E976" s="55"/>
      <c r="F976" s="55"/>
      <c r="K976" s="55"/>
      <c r="L976" s="55"/>
    </row>
    <row r="977">
      <c r="B977" s="28"/>
      <c r="C977" s="28"/>
      <c r="E977" s="55"/>
      <c r="F977" s="55"/>
      <c r="K977" s="55"/>
      <c r="L977" s="55"/>
    </row>
    <row r="978">
      <c r="B978" s="28"/>
      <c r="C978" s="28"/>
      <c r="E978" s="55"/>
      <c r="F978" s="55"/>
      <c r="K978" s="55"/>
      <c r="L978" s="55"/>
    </row>
    <row r="979">
      <c r="B979" s="28"/>
      <c r="C979" s="28"/>
      <c r="E979" s="55"/>
      <c r="F979" s="55"/>
      <c r="K979" s="55"/>
      <c r="L979" s="55"/>
    </row>
    <row r="980">
      <c r="B980" s="28"/>
      <c r="C980" s="28"/>
      <c r="E980" s="55"/>
      <c r="F980" s="55"/>
      <c r="K980" s="55"/>
      <c r="L980" s="55"/>
    </row>
    <row r="981">
      <c r="B981" s="28"/>
      <c r="C981" s="28"/>
      <c r="E981" s="55"/>
      <c r="F981" s="55"/>
      <c r="K981" s="55"/>
      <c r="L981" s="55"/>
    </row>
    <row r="982">
      <c r="B982" s="28"/>
      <c r="C982" s="28"/>
      <c r="E982" s="55"/>
      <c r="F982" s="55"/>
      <c r="K982" s="55"/>
      <c r="L982" s="55"/>
    </row>
    <row r="983">
      <c r="B983" s="28"/>
      <c r="C983" s="28"/>
      <c r="E983" s="55"/>
      <c r="F983" s="55"/>
      <c r="K983" s="55"/>
      <c r="L983" s="55"/>
    </row>
    <row r="984">
      <c r="B984" s="28"/>
      <c r="C984" s="28"/>
      <c r="E984" s="55"/>
      <c r="F984" s="55"/>
      <c r="K984" s="55"/>
      <c r="L984" s="55"/>
    </row>
    <row r="985">
      <c r="B985" s="28"/>
      <c r="C985" s="28"/>
      <c r="E985" s="55"/>
      <c r="F985" s="55"/>
      <c r="K985" s="55"/>
      <c r="L985" s="55"/>
    </row>
    <row r="986">
      <c r="B986" s="28"/>
      <c r="C986" s="28"/>
      <c r="E986" s="55"/>
      <c r="F986" s="55"/>
      <c r="K986" s="55"/>
      <c r="L986" s="55"/>
    </row>
    <row r="987">
      <c r="B987" s="28"/>
      <c r="C987" s="28"/>
      <c r="E987" s="55"/>
      <c r="F987" s="55"/>
      <c r="K987" s="55"/>
      <c r="L987" s="55"/>
    </row>
    <row r="988">
      <c r="B988" s="28"/>
      <c r="C988" s="28"/>
      <c r="E988" s="55"/>
      <c r="F988" s="55"/>
      <c r="K988" s="55"/>
      <c r="L988" s="55"/>
    </row>
    <row r="989">
      <c r="B989" s="28"/>
      <c r="C989" s="28"/>
      <c r="E989" s="55"/>
      <c r="F989" s="55"/>
      <c r="K989" s="55"/>
      <c r="L989" s="55"/>
    </row>
    <row r="990">
      <c r="B990" s="28"/>
      <c r="C990" s="28"/>
      <c r="E990" s="55"/>
      <c r="F990" s="55"/>
      <c r="K990" s="55"/>
      <c r="L990" s="55"/>
    </row>
    <row r="991">
      <c r="B991" s="28"/>
      <c r="C991" s="28"/>
      <c r="E991" s="55"/>
      <c r="F991" s="55"/>
      <c r="K991" s="55"/>
      <c r="L991" s="55"/>
    </row>
    <row r="992">
      <c r="B992" s="28"/>
      <c r="C992" s="28"/>
      <c r="E992" s="55"/>
      <c r="F992" s="55"/>
      <c r="K992" s="55"/>
      <c r="L992" s="55"/>
    </row>
    <row r="993">
      <c r="B993" s="28"/>
      <c r="C993" s="28"/>
      <c r="E993" s="55"/>
      <c r="F993" s="55"/>
      <c r="K993" s="55"/>
      <c r="L993" s="55"/>
    </row>
    <row r="994">
      <c r="B994" s="28"/>
      <c r="C994" s="28"/>
      <c r="E994" s="55"/>
      <c r="F994" s="55"/>
      <c r="K994" s="55"/>
      <c r="L994" s="55"/>
    </row>
    <row r="995">
      <c r="B995" s="28"/>
      <c r="C995" s="28"/>
      <c r="E995" s="55"/>
      <c r="F995" s="55"/>
      <c r="K995" s="55"/>
      <c r="L995" s="55"/>
    </row>
    <row r="996">
      <c r="B996" s="28"/>
      <c r="C996" s="28"/>
      <c r="E996" s="55"/>
      <c r="F996" s="55"/>
      <c r="K996" s="55"/>
      <c r="L996" s="55"/>
    </row>
    <row r="997">
      <c r="B997" s="28"/>
      <c r="C997" s="28"/>
      <c r="E997" s="55"/>
      <c r="F997" s="55"/>
      <c r="K997" s="55"/>
      <c r="L997" s="55"/>
    </row>
    <row r="998">
      <c r="B998" s="28"/>
      <c r="C998" s="28"/>
      <c r="E998" s="55"/>
      <c r="F998" s="55"/>
      <c r="K998" s="55"/>
      <c r="L998" s="55"/>
    </row>
    <row r="999">
      <c r="B999" s="28"/>
      <c r="C999" s="28"/>
      <c r="E999" s="55"/>
      <c r="F999" s="55"/>
      <c r="K999" s="55"/>
      <c r="L999" s="55"/>
    </row>
    <row r="1000">
      <c r="B1000" s="28"/>
      <c r="C1000" s="28"/>
      <c r="E1000" s="55"/>
      <c r="F1000" s="55"/>
      <c r="K1000" s="55"/>
      <c r="L1000" s="55"/>
    </row>
    <row r="1001">
      <c r="B1001" s="28"/>
      <c r="C1001" s="28"/>
      <c r="E1001" s="55"/>
      <c r="F1001" s="55"/>
      <c r="K1001" s="55"/>
      <c r="L1001" s="55"/>
    </row>
    <row r="1002">
      <c r="B1002" s="28"/>
      <c r="C1002" s="28"/>
      <c r="E1002" s="55"/>
      <c r="F1002" s="55"/>
      <c r="K1002" s="55"/>
      <c r="L1002" s="55"/>
    </row>
    <row r="1003">
      <c r="B1003" s="28"/>
      <c r="C1003" s="28"/>
      <c r="E1003" s="55"/>
      <c r="F1003" s="55"/>
      <c r="K1003" s="55"/>
      <c r="L1003" s="55"/>
    </row>
    <row r="1004">
      <c r="B1004" s="28"/>
      <c r="C1004" s="28"/>
      <c r="E1004" s="55"/>
      <c r="F1004" s="55"/>
      <c r="K1004" s="55"/>
      <c r="L1004" s="55"/>
    </row>
    <row r="1005">
      <c r="B1005" s="28"/>
      <c r="C1005" s="28"/>
      <c r="E1005" s="55"/>
      <c r="F1005" s="55"/>
      <c r="K1005" s="55"/>
      <c r="L1005" s="55"/>
    </row>
    <row r="1006">
      <c r="B1006" s="28"/>
      <c r="C1006" s="28"/>
      <c r="E1006" s="55"/>
      <c r="F1006" s="55"/>
      <c r="K1006" s="55"/>
      <c r="L1006" s="55"/>
    </row>
    <row r="1007">
      <c r="B1007" s="28"/>
      <c r="C1007" s="28"/>
      <c r="E1007" s="55"/>
      <c r="F1007" s="55"/>
      <c r="K1007" s="55"/>
      <c r="L1007" s="55"/>
    </row>
    <row r="1008">
      <c r="B1008" s="28"/>
      <c r="C1008" s="28"/>
      <c r="E1008" s="55"/>
      <c r="F1008" s="55"/>
      <c r="K1008" s="55"/>
      <c r="L1008" s="55"/>
    </row>
    <row r="1009">
      <c r="B1009" s="28"/>
      <c r="C1009" s="28"/>
      <c r="E1009" s="55"/>
      <c r="F1009" s="55"/>
      <c r="K1009" s="55"/>
      <c r="L1009" s="55"/>
    </row>
    <row r="1010">
      <c r="B1010" s="28"/>
      <c r="C1010" s="28"/>
      <c r="E1010" s="55"/>
      <c r="F1010" s="55"/>
      <c r="K1010" s="55"/>
      <c r="L1010" s="55"/>
    </row>
    <row r="1011">
      <c r="B1011" s="28"/>
      <c r="C1011" s="28"/>
      <c r="E1011" s="55"/>
      <c r="F1011" s="55"/>
      <c r="K1011" s="55"/>
      <c r="L1011" s="55"/>
    </row>
    <row r="1012">
      <c r="B1012" s="28"/>
      <c r="C1012" s="28"/>
      <c r="E1012" s="55"/>
      <c r="F1012" s="55"/>
      <c r="K1012" s="55"/>
      <c r="L1012" s="55"/>
    </row>
    <row r="1013">
      <c r="B1013" s="28"/>
      <c r="C1013" s="28"/>
      <c r="E1013" s="55"/>
      <c r="F1013" s="55"/>
      <c r="K1013" s="55"/>
      <c r="L1013" s="55"/>
    </row>
    <row r="1014">
      <c r="B1014" s="28"/>
      <c r="C1014" s="28"/>
      <c r="E1014" s="55"/>
      <c r="F1014" s="55"/>
      <c r="K1014" s="55"/>
      <c r="L1014" s="55"/>
    </row>
    <row r="1015">
      <c r="B1015" s="28"/>
      <c r="C1015" s="28"/>
      <c r="E1015" s="55"/>
      <c r="F1015" s="55"/>
      <c r="K1015" s="55"/>
      <c r="L1015" s="55"/>
    </row>
    <row r="1016">
      <c r="B1016" s="28"/>
      <c r="C1016" s="28"/>
      <c r="E1016" s="55"/>
      <c r="F1016" s="55"/>
      <c r="K1016" s="55"/>
      <c r="L1016" s="55"/>
    </row>
    <row r="1017">
      <c r="B1017" s="28"/>
      <c r="C1017" s="28"/>
      <c r="E1017" s="55"/>
      <c r="F1017" s="55"/>
      <c r="K1017" s="55"/>
      <c r="L1017" s="55"/>
    </row>
    <row r="1018">
      <c r="B1018" s="28"/>
      <c r="C1018" s="28"/>
      <c r="E1018" s="55"/>
      <c r="F1018" s="55"/>
      <c r="K1018" s="55"/>
      <c r="L1018" s="55"/>
    </row>
    <row r="1019">
      <c r="B1019" s="28"/>
      <c r="C1019" s="28"/>
      <c r="E1019" s="55"/>
      <c r="F1019" s="55"/>
      <c r="K1019" s="55"/>
      <c r="L1019" s="55"/>
    </row>
    <row r="1020">
      <c r="B1020" s="28"/>
      <c r="C1020" s="28"/>
      <c r="E1020" s="55"/>
      <c r="F1020" s="55"/>
      <c r="K1020" s="55"/>
      <c r="L1020" s="55"/>
    </row>
    <row r="1021">
      <c r="B1021" s="28"/>
      <c r="C1021" s="28"/>
      <c r="E1021" s="55"/>
      <c r="F1021" s="55"/>
      <c r="K1021" s="55"/>
      <c r="L1021" s="55"/>
    </row>
    <row r="1022">
      <c r="B1022" s="28"/>
      <c r="C1022" s="28"/>
      <c r="E1022" s="55"/>
      <c r="F1022" s="55"/>
      <c r="K1022" s="55"/>
      <c r="L1022" s="55"/>
    </row>
    <row r="1023">
      <c r="B1023" s="28"/>
      <c r="C1023" s="28"/>
      <c r="E1023" s="55"/>
      <c r="F1023" s="55"/>
      <c r="K1023" s="55"/>
      <c r="L1023" s="55"/>
    </row>
    <row r="1024">
      <c r="B1024" s="28"/>
      <c r="C1024" s="28"/>
      <c r="E1024" s="55"/>
      <c r="F1024" s="55"/>
      <c r="K1024" s="55"/>
      <c r="L1024" s="55"/>
    </row>
    <row r="1025">
      <c r="B1025" s="28"/>
      <c r="C1025" s="28"/>
      <c r="E1025" s="55"/>
      <c r="F1025" s="55"/>
      <c r="K1025" s="55"/>
      <c r="L1025" s="55"/>
    </row>
    <row r="1026">
      <c r="B1026" s="28"/>
      <c r="C1026" s="28"/>
      <c r="E1026" s="55"/>
      <c r="F1026" s="55"/>
      <c r="K1026" s="55"/>
      <c r="L1026" s="55"/>
    </row>
    <row r="1027">
      <c r="B1027" s="28"/>
      <c r="C1027" s="28"/>
      <c r="E1027" s="55"/>
      <c r="F1027" s="55"/>
      <c r="K1027" s="55"/>
      <c r="L1027" s="55"/>
    </row>
    <row r="1028">
      <c r="B1028" s="28"/>
      <c r="C1028" s="28"/>
      <c r="E1028" s="55"/>
      <c r="F1028" s="55"/>
      <c r="K1028" s="55"/>
      <c r="L1028" s="55"/>
    </row>
    <row r="1029">
      <c r="B1029" s="28"/>
      <c r="C1029" s="28"/>
      <c r="E1029" s="55"/>
      <c r="F1029" s="55"/>
      <c r="K1029" s="55"/>
      <c r="L1029" s="55"/>
    </row>
    <row r="1030">
      <c r="B1030" s="28"/>
      <c r="C1030" s="28"/>
      <c r="E1030" s="55"/>
      <c r="F1030" s="55"/>
      <c r="K1030" s="55"/>
      <c r="L1030" s="55"/>
    </row>
    <row r="1031">
      <c r="B1031" s="28"/>
      <c r="C1031" s="28"/>
      <c r="E1031" s="55"/>
      <c r="F1031" s="55"/>
      <c r="K1031" s="55"/>
      <c r="L1031" s="55"/>
    </row>
    <row r="1032">
      <c r="B1032" s="28"/>
      <c r="C1032" s="28"/>
      <c r="E1032" s="55"/>
      <c r="F1032" s="55"/>
      <c r="K1032" s="55"/>
      <c r="L1032" s="55"/>
    </row>
    <row r="1033">
      <c r="B1033" s="28"/>
      <c r="C1033" s="28"/>
      <c r="E1033" s="55"/>
      <c r="F1033" s="55"/>
      <c r="K1033" s="55"/>
      <c r="L1033" s="55"/>
    </row>
    <row r="1034">
      <c r="B1034" s="28"/>
      <c r="C1034" s="28"/>
      <c r="E1034" s="55"/>
      <c r="F1034" s="55"/>
      <c r="K1034" s="55"/>
      <c r="L1034" s="55"/>
    </row>
    <row r="1035">
      <c r="B1035" s="28"/>
      <c r="C1035" s="28"/>
      <c r="E1035" s="55"/>
      <c r="F1035" s="55"/>
      <c r="K1035" s="55"/>
      <c r="L1035" s="55"/>
    </row>
    <row r="1036">
      <c r="B1036" s="28"/>
      <c r="C1036" s="28"/>
      <c r="E1036" s="55"/>
      <c r="F1036" s="55"/>
      <c r="K1036" s="55"/>
      <c r="L1036" s="55"/>
    </row>
    <row r="1037">
      <c r="B1037" s="28"/>
      <c r="C1037" s="28"/>
      <c r="E1037" s="55"/>
      <c r="F1037" s="55"/>
      <c r="K1037" s="55"/>
      <c r="L1037" s="55"/>
    </row>
    <row r="1038">
      <c r="B1038" s="28"/>
      <c r="C1038" s="28"/>
      <c r="E1038" s="55"/>
      <c r="F1038" s="55"/>
      <c r="K1038" s="55"/>
      <c r="L1038" s="55"/>
    </row>
  </sheetData>
  <mergeCells count="5">
    <mergeCell ref="A1:C1"/>
    <mergeCell ref="A2:C2"/>
    <mergeCell ref="A3:C3"/>
    <mergeCell ref="D4:H4"/>
    <mergeCell ref="J4:N4"/>
  </mergeCells>
  <hyperlinks>
    <hyperlink r:id="rId2" ref="G6"/>
    <hyperlink r:id="rId3" ref="M6"/>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19.63"/>
    <col customWidth="1" min="2" max="3" width="23.38"/>
    <col customWidth="1" min="4" max="8" width="15.13"/>
    <col customWidth="1" min="10" max="14" width="15.13"/>
  </cols>
  <sheetData>
    <row r="1">
      <c r="A1" s="3" t="s">
        <v>4</v>
      </c>
      <c r="D1" s="4"/>
      <c r="E1" s="5"/>
      <c r="F1" s="5"/>
      <c r="G1" s="4"/>
      <c r="H1" s="4"/>
      <c r="I1" s="6"/>
      <c r="J1" s="6"/>
      <c r="K1" s="7"/>
      <c r="L1" s="7"/>
      <c r="M1" s="6"/>
      <c r="N1" s="6"/>
      <c r="O1" s="6"/>
      <c r="P1" s="6"/>
      <c r="Q1" s="6"/>
      <c r="R1" s="6"/>
      <c r="S1" s="6"/>
      <c r="T1" s="6"/>
      <c r="U1" s="6"/>
      <c r="V1" s="6"/>
      <c r="W1" s="6"/>
      <c r="X1" s="6"/>
      <c r="Y1" s="6"/>
      <c r="Z1" s="6"/>
      <c r="AA1" s="6"/>
      <c r="AB1" s="6"/>
    </row>
    <row r="2">
      <c r="A2" s="3" t="s">
        <v>5</v>
      </c>
      <c r="D2" s="4"/>
      <c r="E2" s="5"/>
      <c r="F2" s="5"/>
      <c r="G2" s="4"/>
      <c r="H2" s="4"/>
      <c r="I2" s="6"/>
      <c r="J2" s="6"/>
      <c r="K2" s="7"/>
      <c r="L2" s="7"/>
      <c r="M2" s="6"/>
      <c r="N2" s="6"/>
      <c r="O2" s="6"/>
      <c r="P2" s="6"/>
      <c r="Q2" s="6"/>
      <c r="R2" s="6"/>
      <c r="S2" s="6"/>
      <c r="T2" s="6"/>
      <c r="U2" s="6"/>
      <c r="V2" s="6"/>
      <c r="W2" s="6"/>
      <c r="X2" s="6"/>
      <c r="Y2" s="6"/>
      <c r="Z2" s="6"/>
      <c r="AA2" s="6"/>
      <c r="AB2" s="6"/>
    </row>
    <row r="3">
      <c r="A3" s="3" t="s">
        <v>158</v>
      </c>
      <c r="D3" s="6"/>
      <c r="E3" s="5"/>
      <c r="F3" s="5"/>
      <c r="G3" s="4"/>
      <c r="H3" s="4"/>
      <c r="I3" s="6"/>
      <c r="J3" s="6"/>
      <c r="K3" s="7"/>
      <c r="L3" s="7"/>
      <c r="M3" s="6"/>
      <c r="N3" s="6"/>
      <c r="O3" s="6"/>
      <c r="P3" s="6"/>
      <c r="Q3" s="6"/>
      <c r="R3" s="6"/>
      <c r="S3" s="6"/>
      <c r="T3" s="6"/>
      <c r="U3" s="6"/>
      <c r="V3" s="6"/>
      <c r="W3" s="6"/>
      <c r="X3" s="6"/>
      <c r="Y3" s="6"/>
      <c r="Z3" s="6"/>
      <c r="AA3" s="6"/>
      <c r="AB3" s="6"/>
    </row>
    <row r="4">
      <c r="B4" s="8"/>
      <c r="C4" s="8"/>
      <c r="D4" s="9" t="s">
        <v>7</v>
      </c>
      <c r="J4" s="10" t="s">
        <v>8</v>
      </c>
    </row>
    <row r="5">
      <c r="B5" s="8"/>
      <c r="C5" s="8"/>
      <c r="D5" s="11" t="s">
        <v>9</v>
      </c>
      <c r="E5" s="12" t="s">
        <v>9</v>
      </c>
      <c r="F5" s="13" t="s">
        <v>9</v>
      </c>
      <c r="G5" s="1" t="s">
        <v>9</v>
      </c>
      <c r="H5" s="11" t="s">
        <v>9</v>
      </c>
      <c r="J5" s="11" t="s">
        <v>9</v>
      </c>
      <c r="K5" s="12" t="s">
        <v>9</v>
      </c>
      <c r="L5" s="13" t="s">
        <v>9</v>
      </c>
      <c r="M5" s="1" t="s">
        <v>9</v>
      </c>
      <c r="N5" s="11" t="s">
        <v>9</v>
      </c>
    </row>
    <row r="6">
      <c r="A6" s="14" t="s">
        <v>10</v>
      </c>
      <c r="B6" s="15" t="s">
        <v>11</v>
      </c>
      <c r="C6" s="15" t="s">
        <v>12</v>
      </c>
      <c r="D6" s="16" t="s">
        <v>13</v>
      </c>
      <c r="E6" s="17" t="s">
        <v>14</v>
      </c>
      <c r="F6" s="18" t="s">
        <v>15</v>
      </c>
      <c r="G6" s="19" t="s">
        <v>159</v>
      </c>
      <c r="H6" s="16" t="s">
        <v>17</v>
      </c>
      <c r="J6" s="16" t="s">
        <v>13</v>
      </c>
      <c r="K6" s="17" t="s">
        <v>14</v>
      </c>
      <c r="L6" s="18" t="s">
        <v>15</v>
      </c>
      <c r="M6" s="19" t="s">
        <v>160</v>
      </c>
      <c r="N6" s="16" t="s">
        <v>17</v>
      </c>
    </row>
    <row r="7">
      <c r="A7" s="20" t="s">
        <v>19</v>
      </c>
      <c r="B7" s="21" t="s">
        <v>20</v>
      </c>
      <c r="C7" s="22"/>
      <c r="D7" s="23"/>
      <c r="E7" s="24"/>
      <c r="F7" s="24"/>
      <c r="G7" s="23"/>
      <c r="H7" s="23"/>
      <c r="J7" s="23"/>
      <c r="K7" s="24"/>
      <c r="L7" s="24"/>
      <c r="M7" s="23"/>
      <c r="N7" s="23"/>
      <c r="O7" s="23"/>
      <c r="P7" s="23"/>
      <c r="Q7" s="23"/>
      <c r="R7" s="23"/>
      <c r="S7" s="23"/>
      <c r="T7" s="23"/>
      <c r="U7" s="23"/>
      <c r="V7" s="23"/>
      <c r="W7" s="23"/>
      <c r="X7" s="23"/>
      <c r="Y7" s="23"/>
      <c r="Z7" s="23"/>
      <c r="AA7" s="23"/>
      <c r="AB7" s="23"/>
    </row>
    <row r="8">
      <c r="A8" s="1" t="s">
        <v>21</v>
      </c>
      <c r="B8" s="8" t="s">
        <v>22</v>
      </c>
      <c r="C8" s="8" t="s">
        <v>23</v>
      </c>
      <c r="D8" s="11">
        <v>13476.0</v>
      </c>
      <c r="E8" s="12">
        <v>11829.01</v>
      </c>
      <c r="F8" s="13">
        <v>11829.01174346</v>
      </c>
      <c r="H8" s="40"/>
      <c r="J8" s="25">
        <v>3819.346</v>
      </c>
      <c r="K8" s="12">
        <v>3173.48012854429</v>
      </c>
      <c r="L8" s="25">
        <v>3173.48012854</v>
      </c>
      <c r="N8" s="27"/>
      <c r="O8" s="55">
        <f t="shared" ref="O8:Q8" si="1">J8/D8</f>
        <v>0.2834183734</v>
      </c>
      <c r="P8" s="55">
        <f t="shared" si="1"/>
        <v>0.2682794358</v>
      </c>
      <c r="Q8" s="55">
        <f t="shared" si="1"/>
        <v>0.2682793962</v>
      </c>
    </row>
    <row r="9">
      <c r="A9" s="1" t="s">
        <v>25</v>
      </c>
      <c r="B9" s="8" t="s">
        <v>26</v>
      </c>
      <c r="C9" s="28"/>
      <c r="D9" s="13">
        <v>6.634151</v>
      </c>
      <c r="E9" s="12">
        <v>6.2</v>
      </c>
      <c r="F9" s="13">
        <v>6.2</v>
      </c>
      <c r="H9" s="40"/>
      <c r="J9" s="25">
        <v>4.732309</v>
      </c>
      <c r="K9" s="12">
        <v>5.321</v>
      </c>
      <c r="L9" s="25">
        <v>4.304</v>
      </c>
      <c r="N9" s="27"/>
    </row>
    <row r="10">
      <c r="A10" s="1" t="s">
        <v>28</v>
      </c>
      <c r="B10" s="8" t="s">
        <v>29</v>
      </c>
      <c r="C10" s="8" t="s">
        <v>30</v>
      </c>
      <c r="D10" s="11">
        <v>0.48</v>
      </c>
      <c r="E10" s="12">
        <v>0.477639241496419</v>
      </c>
      <c r="F10" s="13">
        <v>0.5</v>
      </c>
      <c r="H10" s="40"/>
      <c r="J10" s="25">
        <v>0.48</v>
      </c>
      <c r="K10" s="12">
        <v>0.477639241496419</v>
      </c>
      <c r="L10" s="13">
        <v>0.5</v>
      </c>
      <c r="N10" s="27"/>
    </row>
    <row r="11">
      <c r="A11" s="1" t="s">
        <v>31</v>
      </c>
      <c r="B11" s="8" t="s">
        <v>32</v>
      </c>
      <c r="C11" s="8" t="s">
        <v>33</v>
      </c>
      <c r="D11" s="11">
        <v>12.3</v>
      </c>
      <c r="E11" s="12">
        <v>12.2701</v>
      </c>
      <c r="F11" s="13">
        <v>12.28</v>
      </c>
      <c r="H11" s="40"/>
      <c r="J11" s="29">
        <v>12.3</v>
      </c>
      <c r="K11" s="12">
        <v>12.2701</v>
      </c>
      <c r="L11" s="13">
        <v>12.28</v>
      </c>
      <c r="N11" s="27"/>
    </row>
    <row r="12">
      <c r="A12" s="1" t="s">
        <v>34</v>
      </c>
      <c r="B12" s="8" t="s">
        <v>35</v>
      </c>
      <c r="C12" s="8" t="s">
        <v>36</v>
      </c>
      <c r="D12" s="11">
        <v>7.87</v>
      </c>
      <c r="E12" s="12">
        <v>7.87</v>
      </c>
      <c r="F12" s="13">
        <v>7.87</v>
      </c>
      <c r="H12" s="40"/>
      <c r="J12" s="25">
        <v>7.87</v>
      </c>
      <c r="K12" s="12">
        <v>7.87</v>
      </c>
      <c r="L12" s="13">
        <v>7.87</v>
      </c>
      <c r="N12" s="27"/>
    </row>
    <row r="13">
      <c r="A13" s="1" t="s">
        <v>38</v>
      </c>
      <c r="B13" s="8" t="s">
        <v>39</v>
      </c>
      <c r="C13" s="8" t="s">
        <v>40</v>
      </c>
      <c r="D13" s="13">
        <v>427518.2</v>
      </c>
      <c r="E13" s="12">
        <v>427518.213511999</v>
      </c>
      <c r="F13" s="56">
        <f>42.75182135*100*100</f>
        <v>427518.2135</v>
      </c>
      <c r="H13" s="40"/>
      <c r="J13" s="25">
        <v>427518.2</v>
      </c>
      <c r="K13" s="12">
        <v>427518.213511999</v>
      </c>
      <c r="L13" s="56">
        <f>42.75182135*100*100</f>
        <v>427518.2135</v>
      </c>
      <c r="N13" s="27"/>
    </row>
    <row r="14">
      <c r="A14" s="31" t="s">
        <v>42</v>
      </c>
      <c r="B14" s="8" t="s">
        <v>43</v>
      </c>
      <c r="C14" s="8" t="s">
        <v>44</v>
      </c>
      <c r="D14" s="13">
        <v>500.0</v>
      </c>
      <c r="E14" s="12">
        <v>500.0</v>
      </c>
      <c r="F14" s="13">
        <v>500.0</v>
      </c>
      <c r="H14" s="40"/>
      <c r="J14" s="25">
        <v>1000.0</v>
      </c>
      <c r="K14" s="12">
        <v>1000.0</v>
      </c>
      <c r="L14" s="13">
        <v>1000.0</v>
      </c>
      <c r="N14" s="27"/>
    </row>
    <row r="15">
      <c r="A15" s="32" t="s">
        <v>46</v>
      </c>
      <c r="B15" s="8" t="s">
        <v>47</v>
      </c>
      <c r="C15" s="8" t="s">
        <v>44</v>
      </c>
      <c r="D15" s="11">
        <v>100.0</v>
      </c>
      <c r="E15" s="12">
        <v>100.0</v>
      </c>
      <c r="F15" s="13">
        <v>100.0</v>
      </c>
      <c r="H15" s="40"/>
      <c r="J15" s="25">
        <v>200.0</v>
      </c>
      <c r="K15" s="12">
        <v>200.0</v>
      </c>
      <c r="L15" s="13">
        <v>200.0</v>
      </c>
      <c r="N15" s="27"/>
    </row>
    <row r="16">
      <c r="A16" s="1" t="s">
        <v>49</v>
      </c>
      <c r="B16" s="8" t="s">
        <v>50</v>
      </c>
      <c r="C16" s="28"/>
      <c r="D16" s="11">
        <v>3.0</v>
      </c>
      <c r="E16" s="12">
        <v>3.0</v>
      </c>
      <c r="F16" s="13">
        <v>3.0</v>
      </c>
      <c r="H16" s="40"/>
      <c r="J16" s="29">
        <v>3.0</v>
      </c>
      <c r="K16" s="12">
        <v>3.0</v>
      </c>
      <c r="L16" s="13">
        <v>3.0</v>
      </c>
      <c r="N16" s="27"/>
    </row>
    <row r="17">
      <c r="A17" s="1" t="s">
        <v>51</v>
      </c>
      <c r="B17" s="8" t="s">
        <v>52</v>
      </c>
      <c r="C17" s="28"/>
      <c r="D17" s="11">
        <v>7.0</v>
      </c>
      <c r="E17" s="12">
        <v>7.0</v>
      </c>
      <c r="F17" s="13">
        <v>7.0</v>
      </c>
      <c r="H17" s="40"/>
      <c r="J17" s="29">
        <v>7.0</v>
      </c>
      <c r="K17" s="12">
        <v>7.0</v>
      </c>
      <c r="L17" s="13">
        <v>7.0</v>
      </c>
      <c r="N17" s="27"/>
    </row>
    <row r="18">
      <c r="A18" s="1" t="s">
        <v>54</v>
      </c>
      <c r="B18" s="8" t="s">
        <v>55</v>
      </c>
      <c r="C18" s="8" t="s">
        <v>56</v>
      </c>
      <c r="D18" s="13">
        <v>8249.895</v>
      </c>
      <c r="E18" s="12">
        <v>8280.0</v>
      </c>
      <c r="F18" s="13">
        <f>0.0958333*86400</f>
        <v>8279.99712</v>
      </c>
      <c r="H18" s="40"/>
      <c r="J18" s="25">
        <v>8249.895</v>
      </c>
      <c r="K18" s="12">
        <v>8280.0</v>
      </c>
      <c r="L18" s="13">
        <f>0.0958333*86400</f>
        <v>8279.99712</v>
      </c>
      <c r="N18" s="27"/>
    </row>
    <row r="19">
      <c r="A19" s="1" t="s">
        <v>57</v>
      </c>
      <c r="B19" s="8" t="s">
        <v>58</v>
      </c>
      <c r="C19" s="28"/>
      <c r="D19" s="11">
        <v>1.1</v>
      </c>
      <c r="E19" s="12">
        <v>1.1</v>
      </c>
      <c r="F19" s="13">
        <v>1.0</v>
      </c>
      <c r="H19" s="40"/>
      <c r="J19" s="25">
        <v>1.1</v>
      </c>
      <c r="K19" s="12">
        <v>1.1</v>
      </c>
      <c r="L19" s="13">
        <v>1.0</v>
      </c>
      <c r="N19" s="27"/>
    </row>
    <row r="20">
      <c r="A20" s="1" t="s">
        <v>59</v>
      </c>
      <c r="B20" s="8" t="s">
        <v>60</v>
      </c>
      <c r="C20" s="8" t="s">
        <v>61</v>
      </c>
      <c r="D20" s="13">
        <v>3.0E-5</v>
      </c>
      <c r="E20" s="12">
        <v>3.0E-5</v>
      </c>
      <c r="F20" s="13">
        <v>3.0E-5</v>
      </c>
      <c r="H20" s="40"/>
      <c r="J20" s="25">
        <v>3.0E-5</v>
      </c>
      <c r="K20" s="12">
        <v>3.0E-5</v>
      </c>
      <c r="L20" s="13">
        <v>3.0E-5</v>
      </c>
      <c r="N20" s="27"/>
    </row>
    <row r="21">
      <c r="A21" s="1" t="s">
        <v>62</v>
      </c>
      <c r="B21" s="8" t="s">
        <v>63</v>
      </c>
      <c r="C21" s="8" t="s">
        <v>64</v>
      </c>
      <c r="D21" s="13">
        <v>0.0</v>
      </c>
      <c r="E21" s="12">
        <v>0.0</v>
      </c>
      <c r="F21" s="13">
        <v>0.0</v>
      </c>
      <c r="H21" s="40"/>
      <c r="J21" s="25">
        <v>0.0</v>
      </c>
      <c r="K21" s="12">
        <v>0.0</v>
      </c>
      <c r="L21" s="13">
        <v>0.0</v>
      </c>
      <c r="N21" s="27"/>
    </row>
    <row r="22">
      <c r="A22" s="1" t="s">
        <v>65</v>
      </c>
      <c r="B22" s="8" t="s">
        <v>66</v>
      </c>
      <c r="C22" s="8" t="s">
        <v>67</v>
      </c>
      <c r="D22" s="13">
        <v>0.0013</v>
      </c>
      <c r="E22" s="12">
        <v>0.0013</v>
      </c>
      <c r="F22" s="13">
        <v>0.0013</v>
      </c>
      <c r="H22" s="40"/>
      <c r="J22" s="25">
        <v>0.0013</v>
      </c>
      <c r="K22" s="12">
        <v>0.0013</v>
      </c>
      <c r="L22" s="13">
        <v>0.0013</v>
      </c>
      <c r="N22" s="27"/>
    </row>
    <row r="23">
      <c r="A23" s="1" t="s">
        <v>68</v>
      </c>
      <c r="B23" s="8" t="s">
        <v>69</v>
      </c>
      <c r="C23" s="8" t="s">
        <v>56</v>
      </c>
      <c r="D23" s="13">
        <v>1000.0</v>
      </c>
      <c r="E23" s="12" t="s">
        <v>70</v>
      </c>
      <c r="F23" s="56"/>
      <c r="H23" s="40"/>
      <c r="J23" s="25">
        <v>1000.0</v>
      </c>
      <c r="K23" s="12" t="s">
        <v>70</v>
      </c>
      <c r="L23" s="56"/>
      <c r="N23" s="27"/>
    </row>
    <row r="24">
      <c r="A24" s="1" t="s">
        <v>71</v>
      </c>
      <c r="B24" s="8" t="s">
        <v>72</v>
      </c>
      <c r="C24" s="33" t="s">
        <v>73</v>
      </c>
      <c r="D24" s="25">
        <v>6.55225</v>
      </c>
      <c r="E24" s="26">
        <v>6.55</v>
      </c>
      <c r="F24" s="30">
        <f>0.00661157*1000</f>
        <v>6.61157</v>
      </c>
      <c r="G24" s="8"/>
      <c r="H24" s="27"/>
      <c r="I24" s="28"/>
      <c r="J24" s="25">
        <v>6.55225</v>
      </c>
      <c r="K24" s="26">
        <v>0.00655</v>
      </c>
      <c r="L24" s="30">
        <f>0.00661157*1000</f>
        <v>6.61157</v>
      </c>
      <c r="M24" s="28"/>
      <c r="N24" s="27"/>
      <c r="O24" s="28"/>
      <c r="P24" s="28"/>
      <c r="Q24" s="28"/>
      <c r="R24" s="28"/>
      <c r="S24" s="28"/>
      <c r="T24" s="28"/>
      <c r="U24" s="28"/>
    </row>
    <row r="25">
      <c r="A25" s="1" t="s">
        <v>74</v>
      </c>
      <c r="B25" s="8" t="s">
        <v>75</v>
      </c>
      <c r="C25" s="33"/>
      <c r="D25" s="13">
        <v>0.75</v>
      </c>
      <c r="E25" s="12">
        <v>0.75</v>
      </c>
      <c r="F25" s="13">
        <v>0.75</v>
      </c>
      <c r="H25" s="40"/>
      <c r="J25" s="25">
        <v>0.75</v>
      </c>
      <c r="K25" s="12">
        <v>0.75</v>
      </c>
      <c r="L25" s="13">
        <v>1.0</v>
      </c>
      <c r="N25" s="27"/>
    </row>
    <row r="26">
      <c r="A26" s="1" t="s">
        <v>76</v>
      </c>
      <c r="B26" s="8" t="s">
        <v>77</v>
      </c>
      <c r="C26" s="33"/>
      <c r="D26" s="13">
        <v>0.9</v>
      </c>
      <c r="E26" s="12">
        <v>0.9</v>
      </c>
      <c r="F26" s="13">
        <v>0.9</v>
      </c>
      <c r="H26" s="40"/>
      <c r="J26" s="25">
        <v>0.9</v>
      </c>
      <c r="K26" s="12">
        <v>0.9</v>
      </c>
      <c r="L26" s="13">
        <v>0.675</v>
      </c>
      <c r="N26" s="27"/>
    </row>
    <row r="27">
      <c r="A27" s="1" t="s">
        <v>78</v>
      </c>
      <c r="B27" s="8" t="s">
        <v>79</v>
      </c>
      <c r="C27" s="28"/>
      <c r="D27" s="13">
        <v>0.532</v>
      </c>
      <c r="E27" s="12">
        <v>0.532</v>
      </c>
      <c r="F27" s="13">
        <f>0.56*0.95</f>
        <v>0.532</v>
      </c>
      <c r="H27" s="40"/>
      <c r="J27" s="25">
        <v>0.532</v>
      </c>
      <c r="K27" s="12">
        <v>0.532</v>
      </c>
      <c r="L27" s="13">
        <f>0.56*0.95</f>
        <v>0.532</v>
      </c>
      <c r="N27" s="27"/>
    </row>
    <row r="28">
      <c r="A28" s="1" t="s">
        <v>80</v>
      </c>
      <c r="B28" s="8" t="s">
        <v>81</v>
      </c>
      <c r="C28" s="8" t="s">
        <v>82</v>
      </c>
      <c r="D28" s="11">
        <v>135.0</v>
      </c>
      <c r="E28" s="55"/>
      <c r="F28" s="13">
        <v>179.63309564</v>
      </c>
      <c r="H28" s="40"/>
      <c r="J28" s="29">
        <v>135.0</v>
      </c>
      <c r="K28" s="55"/>
      <c r="L28" s="13">
        <v>179.63309564</v>
      </c>
      <c r="N28" s="27"/>
    </row>
    <row r="29">
      <c r="A29" s="1" t="s">
        <v>83</v>
      </c>
      <c r="B29" s="8" t="s">
        <v>84</v>
      </c>
      <c r="C29" s="8" t="s">
        <v>82</v>
      </c>
      <c r="D29" s="11">
        <v>30.1</v>
      </c>
      <c r="E29" s="55"/>
      <c r="F29" s="13">
        <v>30.1</v>
      </c>
      <c r="H29" s="40"/>
      <c r="J29" s="29">
        <v>30.1</v>
      </c>
      <c r="K29" s="55"/>
      <c r="L29" s="13">
        <v>30.1</v>
      </c>
      <c r="N29" s="27"/>
    </row>
    <row r="30">
      <c r="A30" s="35"/>
      <c r="B30" s="36"/>
      <c r="C30" s="28"/>
      <c r="D30" s="40"/>
      <c r="E30" s="55"/>
      <c r="F30" s="56"/>
      <c r="H30" s="40"/>
      <c r="J30" s="27"/>
      <c r="K30" s="55"/>
      <c r="L30" s="30"/>
      <c r="N30" s="27"/>
    </row>
    <row r="31">
      <c r="A31" s="20" t="s">
        <v>85</v>
      </c>
      <c r="B31" s="21" t="s">
        <v>86</v>
      </c>
      <c r="C31" s="22"/>
      <c r="D31" s="23"/>
      <c r="E31" s="24"/>
      <c r="F31" s="24"/>
      <c r="G31" s="23"/>
      <c r="H31" s="23"/>
      <c r="J31" s="23"/>
      <c r="K31" s="24"/>
      <c r="L31" s="24"/>
      <c r="M31" s="23"/>
      <c r="N31" s="23"/>
      <c r="O31" s="23"/>
      <c r="P31" s="23"/>
      <c r="Q31" s="23"/>
      <c r="R31" s="23"/>
      <c r="S31" s="23"/>
      <c r="T31" s="23"/>
      <c r="U31" s="23"/>
      <c r="V31" s="23"/>
      <c r="W31" s="23"/>
      <c r="X31" s="23"/>
      <c r="Y31" s="23"/>
      <c r="Z31" s="23"/>
      <c r="AA31" s="23"/>
      <c r="AB31" s="23"/>
    </row>
    <row r="32">
      <c r="A32" s="1" t="s">
        <v>87</v>
      </c>
      <c r="B32" s="8" t="s">
        <v>88</v>
      </c>
      <c r="C32" s="8" t="s">
        <v>23</v>
      </c>
      <c r="D32" s="13">
        <v>29.91697</v>
      </c>
      <c r="E32" s="12">
        <v>30.52</v>
      </c>
      <c r="F32" s="13">
        <f>30516788.01035/100/100/100</f>
        <v>30.51678801</v>
      </c>
      <c r="H32" s="40"/>
      <c r="J32" s="13">
        <v>48.87259</v>
      </c>
      <c r="K32" s="12">
        <v>29.43708521</v>
      </c>
      <c r="L32" s="13">
        <v>47.41659444</v>
      </c>
      <c r="N32" s="40"/>
      <c r="O32" s="55">
        <f t="shared" ref="O32:Q32" si="2">J32/D32</f>
        <v>1.633607615</v>
      </c>
      <c r="P32" s="55">
        <f t="shared" si="2"/>
        <v>0.964517864</v>
      </c>
      <c r="Q32" s="55">
        <f t="shared" si="2"/>
        <v>1.553787195</v>
      </c>
    </row>
    <row r="33">
      <c r="A33" s="1" t="s">
        <v>90</v>
      </c>
      <c r="B33" s="8" t="s">
        <v>91</v>
      </c>
      <c r="C33" s="8" t="s">
        <v>23</v>
      </c>
      <c r="D33" s="13">
        <v>7.273524E-9</v>
      </c>
      <c r="E33" s="12">
        <v>7.39E-9</v>
      </c>
      <c r="F33" s="56">
        <f>F32*10^(-0.4*24.08889514)</f>
        <v>0.000000007062862717</v>
      </c>
      <c r="H33" s="40"/>
      <c r="J33" s="13">
        <v>1.188208E-8</v>
      </c>
      <c r="K33" s="12">
        <v>7.12377462E-9</v>
      </c>
      <c r="L33" s="13">
        <v>1.09741856E-8</v>
      </c>
      <c r="N33" s="40"/>
    </row>
    <row r="34">
      <c r="A34" s="1" t="s">
        <v>93</v>
      </c>
      <c r="B34" s="8" t="s">
        <v>94</v>
      </c>
      <c r="C34" s="8" t="s">
        <v>95</v>
      </c>
      <c r="D34" s="13">
        <v>6.531573E-6</v>
      </c>
      <c r="E34" s="12">
        <v>7.46E-6</v>
      </c>
      <c r="F34" s="13">
        <v>7.91381156E-6</v>
      </c>
      <c r="H34" s="40"/>
      <c r="J34" s="13">
        <v>6.029138E-6</v>
      </c>
      <c r="K34" s="58">
        <v>2.00233059466696E-6</v>
      </c>
      <c r="L34" s="13">
        <v>7.30505682E-6</v>
      </c>
      <c r="N34" s="40"/>
    </row>
    <row r="35">
      <c r="A35" s="1" t="s">
        <v>96</v>
      </c>
      <c r="B35" s="8" t="s">
        <v>97</v>
      </c>
      <c r="C35" s="8" t="s">
        <v>95</v>
      </c>
      <c r="D35" s="13">
        <v>3.842886E-5</v>
      </c>
      <c r="E35" s="12">
        <v>5.62431605572512E-5</v>
      </c>
      <c r="F35" s="13">
        <v>4.82484148E-5</v>
      </c>
      <c r="H35" s="40"/>
      <c r="J35" s="43">
        <v>6.277769E-5</v>
      </c>
      <c r="K35" s="43">
        <v>1.50888811564214E-5</v>
      </c>
      <c r="L35" s="43">
        <v>1.08176369E-5</v>
      </c>
      <c r="N35" s="40"/>
    </row>
    <row r="36">
      <c r="B36" s="28"/>
      <c r="C36" s="28"/>
      <c r="D36" s="40"/>
      <c r="E36" s="55"/>
      <c r="F36" s="56"/>
      <c r="H36" s="40"/>
      <c r="J36" s="40"/>
      <c r="K36" s="45"/>
      <c r="L36" s="40"/>
      <c r="N36" s="40"/>
    </row>
    <row r="37">
      <c r="A37" s="20" t="s">
        <v>98</v>
      </c>
      <c r="B37" s="21" t="s">
        <v>99</v>
      </c>
      <c r="C37" s="22"/>
      <c r="D37" s="23"/>
      <c r="E37" s="24"/>
      <c r="F37" s="24"/>
      <c r="G37" s="23"/>
      <c r="H37" s="23"/>
      <c r="J37" s="23"/>
      <c r="K37" s="24"/>
      <c r="L37" s="24"/>
      <c r="M37" s="23"/>
      <c r="N37" s="23"/>
      <c r="O37" s="23"/>
      <c r="P37" s="23"/>
      <c r="Q37" s="23"/>
      <c r="R37" s="23"/>
      <c r="S37" s="23"/>
      <c r="T37" s="23"/>
      <c r="U37" s="23"/>
      <c r="V37" s="23"/>
      <c r="W37" s="23"/>
      <c r="X37" s="23"/>
      <c r="Y37" s="23"/>
      <c r="Z37" s="23"/>
      <c r="AA37" s="23"/>
      <c r="AB37" s="23"/>
    </row>
    <row r="38">
      <c r="A38" s="1" t="s">
        <v>100</v>
      </c>
      <c r="B38" s="8" t="s">
        <v>101</v>
      </c>
      <c r="C38" s="33" t="s">
        <v>102</v>
      </c>
      <c r="D38" s="13">
        <v>4.293091</v>
      </c>
      <c r="E38" s="12">
        <v>4.2985239</v>
      </c>
      <c r="F38" s="56">
        <f>0.05758199/(0.0000005/7.87*180/PI()*3600)</f>
        <v>4.394062851</v>
      </c>
      <c r="H38" s="40"/>
      <c r="J38" s="25">
        <v>2.146546</v>
      </c>
      <c r="K38" s="12">
        <v>2.14926195</v>
      </c>
      <c r="L38" s="25">
        <v>2.19703125</v>
      </c>
      <c r="N38" s="27"/>
    </row>
    <row r="39">
      <c r="A39" s="32" t="s">
        <v>103</v>
      </c>
      <c r="B39" s="8" t="s">
        <v>104</v>
      </c>
      <c r="C39" s="33" t="s">
        <v>105</v>
      </c>
      <c r="D39" s="13">
        <v>2.259237</v>
      </c>
      <c r="E39" s="12">
        <v>2.25647</v>
      </c>
      <c r="F39" s="13">
        <f>0.00039544/(0.0000005/7.87*180/PI()*3600)^2</f>
        <v>2.302712864</v>
      </c>
      <c r="H39" s="40"/>
      <c r="J39" s="25">
        <v>2.260343</v>
      </c>
      <c r="K39" s="12">
        <v>2.25647</v>
      </c>
      <c r="L39" s="25">
        <v>2.30272793</v>
      </c>
      <c r="N39" s="27"/>
    </row>
    <row r="40">
      <c r="A40" s="1" t="s">
        <v>106</v>
      </c>
      <c r="B40" s="8" t="s">
        <v>107</v>
      </c>
      <c r="C40" s="33"/>
      <c r="D40" s="13">
        <v>0.268933</v>
      </c>
      <c r="E40" s="12">
        <v>0.28389702</v>
      </c>
      <c r="F40" s="13">
        <v>0.28759349</v>
      </c>
      <c r="H40" s="40"/>
      <c r="J40" s="25">
        <v>0.07872357</v>
      </c>
      <c r="K40" s="12">
        <v>0.09650038</v>
      </c>
      <c r="L40" s="25">
        <v>0.10291705</v>
      </c>
      <c r="N40" s="27"/>
    </row>
    <row r="41">
      <c r="A41" s="1" t="s">
        <v>108</v>
      </c>
      <c r="B41" s="8" t="s">
        <v>109</v>
      </c>
      <c r="C41" s="57" t="s">
        <v>110</v>
      </c>
      <c r="D41" s="13">
        <v>3.77372E-14</v>
      </c>
      <c r="E41" s="12">
        <v>5.07115581E-14</v>
      </c>
      <c r="F41" s="13">
        <v>5.60547005E-14</v>
      </c>
      <c r="H41" s="40"/>
      <c r="J41" s="25">
        <v>2.661983E-13</v>
      </c>
      <c r="K41" s="12">
        <v>2.30979659E-13</v>
      </c>
      <c r="L41" s="25">
        <v>2.20200864E-13</v>
      </c>
      <c r="N41" s="27"/>
    </row>
    <row r="42">
      <c r="A42" s="1" t="s">
        <v>111</v>
      </c>
      <c r="B42" s="8" t="s">
        <v>112</v>
      </c>
      <c r="C42" s="31" t="s">
        <v>110</v>
      </c>
      <c r="D42" s="13">
        <v>8.572042</v>
      </c>
      <c r="E42" s="12">
        <v>8.78632754</v>
      </c>
      <c r="F42" s="13">
        <v>8.88262192</v>
      </c>
      <c r="H42" s="40"/>
      <c r="J42" s="25">
        <v>4.077233</v>
      </c>
      <c r="K42" s="12">
        <v>4.65815827</v>
      </c>
      <c r="L42" s="25">
        <v>4.85006912</v>
      </c>
      <c r="N42" s="27"/>
    </row>
    <row r="43">
      <c r="A43" s="1" t="s">
        <v>113</v>
      </c>
      <c r="B43" s="8" t="s">
        <v>114</v>
      </c>
      <c r="C43" s="28"/>
      <c r="D43" s="13">
        <v>9.036949</v>
      </c>
      <c r="E43" s="12">
        <v>9.04620967</v>
      </c>
      <c r="F43" s="13">
        <v>9.04636774</v>
      </c>
      <c r="H43" s="40"/>
      <c r="J43" s="25">
        <v>36.16549</v>
      </c>
      <c r="K43" s="12">
        <v>36.18483868</v>
      </c>
      <c r="L43" s="25">
        <v>36.18547095</v>
      </c>
      <c r="N43" s="27"/>
    </row>
    <row r="44">
      <c r="A44" s="1" t="s">
        <v>115</v>
      </c>
      <c r="B44" s="8" t="s">
        <v>116</v>
      </c>
      <c r="C44" s="28"/>
      <c r="D44" s="25">
        <v>3.891914</v>
      </c>
      <c r="E44" s="26">
        <v>3.890658</v>
      </c>
      <c r="F44" s="25">
        <v>3.890658</v>
      </c>
      <c r="G44" s="28"/>
      <c r="H44" s="27"/>
      <c r="I44" s="28"/>
      <c r="J44" s="25">
        <v>3.718449</v>
      </c>
      <c r="K44" s="26">
        <v>3.718449</v>
      </c>
      <c r="L44" s="25">
        <v>3.718449</v>
      </c>
      <c r="M44" s="28"/>
      <c r="N44" s="27"/>
      <c r="O44" s="28"/>
      <c r="P44" s="28"/>
      <c r="Q44" s="28"/>
      <c r="R44" s="28"/>
      <c r="S44" s="28"/>
      <c r="T44" s="28"/>
      <c r="U44" s="28"/>
    </row>
    <row r="45">
      <c r="A45" s="1" t="s">
        <v>117</v>
      </c>
      <c r="B45" s="8" t="s">
        <v>118</v>
      </c>
      <c r="C45" s="8" t="s">
        <v>119</v>
      </c>
      <c r="D45" s="27"/>
      <c r="E45" s="34"/>
      <c r="F45" s="30"/>
      <c r="G45" s="28"/>
      <c r="H45" s="27"/>
      <c r="I45" s="28"/>
      <c r="J45" s="27"/>
      <c r="K45" s="34"/>
      <c r="L45" s="30"/>
      <c r="M45" s="28"/>
      <c r="N45" s="27"/>
      <c r="O45" s="28"/>
      <c r="P45" s="28"/>
      <c r="Q45" s="28"/>
      <c r="R45" s="28"/>
      <c r="S45" s="28"/>
      <c r="T45" s="28"/>
      <c r="U45" s="28"/>
    </row>
    <row r="46">
      <c r="A46" s="1" t="s">
        <v>120</v>
      </c>
      <c r="B46" s="8" t="s">
        <v>121</v>
      </c>
      <c r="C46" s="28"/>
      <c r="D46" s="25">
        <v>0.0</v>
      </c>
      <c r="E46" s="34"/>
      <c r="F46" s="30"/>
      <c r="G46" s="28"/>
      <c r="H46" s="27"/>
      <c r="I46" s="28"/>
      <c r="J46" s="25">
        <v>0.0</v>
      </c>
      <c r="K46" s="34"/>
      <c r="L46" s="30"/>
      <c r="M46" s="28"/>
      <c r="N46" s="27"/>
      <c r="O46" s="28"/>
      <c r="P46" s="28"/>
      <c r="Q46" s="28"/>
      <c r="R46" s="28"/>
      <c r="S46" s="28"/>
      <c r="T46" s="28"/>
      <c r="U46" s="28"/>
    </row>
    <row r="47">
      <c r="A47" s="1" t="s">
        <v>122</v>
      </c>
      <c r="B47" s="8" t="s">
        <v>123</v>
      </c>
      <c r="C47" s="33" t="s">
        <v>102</v>
      </c>
      <c r="D47" s="29">
        <v>7470.7168</v>
      </c>
      <c r="E47" s="34"/>
      <c r="F47" s="30"/>
      <c r="G47" s="28"/>
      <c r="H47" s="27"/>
      <c r="I47" s="28"/>
      <c r="J47" s="29">
        <v>3735.3584</v>
      </c>
      <c r="K47" s="34"/>
      <c r="L47" s="30"/>
      <c r="M47" s="28"/>
      <c r="N47" s="27"/>
      <c r="O47" s="28"/>
      <c r="P47" s="28"/>
      <c r="Q47" s="28"/>
      <c r="R47" s="28"/>
      <c r="S47" s="28"/>
      <c r="T47" s="28"/>
      <c r="U47" s="28"/>
    </row>
    <row r="48">
      <c r="B48" s="28"/>
      <c r="C48" s="28"/>
      <c r="D48" s="40"/>
      <c r="E48" s="55"/>
      <c r="F48" s="56"/>
      <c r="H48" s="40"/>
      <c r="J48" s="27"/>
      <c r="K48" s="55"/>
      <c r="L48" s="30"/>
      <c r="N48" s="27"/>
    </row>
    <row r="49">
      <c r="A49" s="20" t="s">
        <v>124</v>
      </c>
      <c r="B49" s="21" t="s">
        <v>125</v>
      </c>
      <c r="C49" s="46"/>
      <c r="D49" s="23"/>
      <c r="E49" s="24"/>
      <c r="F49" s="24"/>
      <c r="G49" s="23"/>
      <c r="H49" s="23"/>
      <c r="J49" s="23"/>
      <c r="K49" s="24"/>
      <c r="L49" s="24"/>
      <c r="M49" s="23"/>
      <c r="N49" s="23"/>
      <c r="O49" s="23"/>
      <c r="P49" s="23"/>
      <c r="Q49" s="23"/>
      <c r="R49" s="23"/>
      <c r="S49" s="23"/>
      <c r="T49" s="23"/>
      <c r="U49" s="23"/>
      <c r="V49" s="23"/>
      <c r="W49" s="23"/>
      <c r="X49" s="23"/>
      <c r="Y49" s="23"/>
      <c r="Z49" s="23"/>
      <c r="AA49" s="23"/>
      <c r="AB49" s="23"/>
    </row>
    <row r="50">
      <c r="A50" s="47" t="s">
        <v>126</v>
      </c>
      <c r="B50" s="48"/>
      <c r="C50" s="48"/>
      <c r="D50" s="49">
        <f t="shared" ref="D50:H50" si="3">D33*D13*D40*D27*D26*D25*D15</f>
        <v>0.03003025263</v>
      </c>
      <c r="E50" s="49">
        <f t="shared" si="3"/>
        <v>0.03220885595</v>
      </c>
      <c r="F50" s="49">
        <f t="shared" si="3"/>
        <v>0.03118385789</v>
      </c>
      <c r="G50" s="50">
        <f t="shared" si="3"/>
        <v>0</v>
      </c>
      <c r="H50" s="50">
        <f t="shared" si="3"/>
        <v>0</v>
      </c>
      <c r="I50" s="28"/>
      <c r="J50" s="49">
        <f t="shared" ref="J50:N50" si="4">J33*J13*J40*J27*J26*J25*J15</f>
        <v>0.02872084818</v>
      </c>
      <c r="K50" s="49">
        <f t="shared" si="4"/>
        <v>0.02110761757</v>
      </c>
      <c r="L50" s="49">
        <f t="shared" si="4"/>
        <v>0.03467844797</v>
      </c>
      <c r="M50" s="50">
        <f t="shared" si="4"/>
        <v>0</v>
      </c>
      <c r="N50" s="50">
        <f t="shared" si="4"/>
        <v>0</v>
      </c>
      <c r="O50" s="28"/>
      <c r="P50" s="28"/>
      <c r="Q50" s="28"/>
      <c r="R50" s="28"/>
      <c r="S50" s="28"/>
      <c r="T50" s="28"/>
      <c r="U50" s="28"/>
    </row>
    <row r="51">
      <c r="A51" s="1" t="s">
        <v>127</v>
      </c>
      <c r="B51" s="8" t="s">
        <v>128</v>
      </c>
      <c r="C51" s="8" t="s">
        <v>129</v>
      </c>
      <c r="D51" s="13">
        <v>0.03003025</v>
      </c>
      <c r="E51" s="12">
        <v>0.03218734</v>
      </c>
      <c r="F51" s="13">
        <v>0.03118386</v>
      </c>
      <c r="H51" s="40"/>
      <c r="J51" s="25">
        <v>0.02872086</v>
      </c>
      <c r="K51" s="12">
        <v>0.02110762</v>
      </c>
      <c r="L51" s="25">
        <v>0.03467845</v>
      </c>
      <c r="N51" s="27"/>
    </row>
    <row r="52">
      <c r="A52" s="47" t="s">
        <v>130</v>
      </c>
      <c r="B52" s="48"/>
      <c r="C52" s="48"/>
      <c r="D52" s="51">
        <f t="shared" ref="D52:H52" si="5">D32*D41*D39*D13*D27*D26*D25*D15</f>
        <v>0.00003915787219</v>
      </c>
      <c r="E52" s="51">
        <f t="shared" si="5"/>
        <v>0.00005361558813</v>
      </c>
      <c r="F52" s="51">
        <f t="shared" si="5"/>
        <v>0.00006047288264</v>
      </c>
      <c r="G52" s="51">
        <f t="shared" si="5"/>
        <v>0</v>
      </c>
      <c r="H52" s="51">
        <f t="shared" si="5"/>
        <v>0</v>
      </c>
      <c r="I52" s="26"/>
      <c r="J52" s="51">
        <f t="shared" ref="J52:N52" si="6">J32*J41*J39*J13*J27*J26*J25*J15</f>
        <v>0.0009029110923</v>
      </c>
      <c r="K52" s="51">
        <f t="shared" si="6"/>
        <v>0.000471083754</v>
      </c>
      <c r="L52" s="51">
        <f t="shared" si="6"/>
        <v>0.0007382305755</v>
      </c>
      <c r="M52" s="51">
        <f t="shared" si="6"/>
        <v>0</v>
      </c>
      <c r="N52" s="51">
        <f t="shared" si="6"/>
        <v>0</v>
      </c>
      <c r="O52" s="28"/>
      <c r="P52" s="28"/>
      <c r="Q52" s="28"/>
      <c r="R52" s="28"/>
      <c r="S52" s="28"/>
      <c r="T52" s="28"/>
      <c r="U52" s="28"/>
    </row>
    <row r="53">
      <c r="A53" s="1" t="s">
        <v>131</v>
      </c>
      <c r="B53" s="8" t="s">
        <v>132</v>
      </c>
      <c r="C53" s="8" t="s">
        <v>129</v>
      </c>
      <c r="D53" s="13">
        <v>3.915787E-5</v>
      </c>
      <c r="E53" s="12">
        <v>5.36938123893035E-5</v>
      </c>
      <c r="F53" s="13">
        <v>6.04733415E-5</v>
      </c>
      <c r="H53" s="40"/>
      <c r="J53" s="25">
        <v>9.029112E-4</v>
      </c>
      <c r="K53" s="12">
        <v>4.71820713032756E-4</v>
      </c>
      <c r="L53" s="25">
        <v>7.3823E-4</v>
      </c>
      <c r="N53" s="27"/>
    </row>
    <row r="54">
      <c r="A54" s="1" t="s">
        <v>133</v>
      </c>
      <c r="B54" s="8" t="s">
        <v>134</v>
      </c>
      <c r="C54" s="8" t="s">
        <v>129</v>
      </c>
      <c r="D54" s="13">
        <v>0.02084274</v>
      </c>
      <c r="E54" s="12">
        <v>0.0244205333993805</v>
      </c>
      <c r="F54" s="13">
        <v>0.02667232</v>
      </c>
      <c r="H54" s="40"/>
      <c r="J54" s="25">
        <v>0.07324466</v>
      </c>
      <c r="K54" s="12">
        <v>0.0277868492099398</v>
      </c>
      <c r="L54" s="25">
        <v>0.1075463</v>
      </c>
      <c r="N54" s="27"/>
    </row>
    <row r="55">
      <c r="A55" s="1" t="s">
        <v>135</v>
      </c>
      <c r="B55" s="8" t="s">
        <v>136</v>
      </c>
      <c r="C55" s="8" t="s">
        <v>129</v>
      </c>
      <c r="D55" s="13">
        <v>0.1226294</v>
      </c>
      <c r="E55" s="12">
        <v>0.184024819488391</v>
      </c>
      <c r="F55" s="13">
        <v>0.16187194</v>
      </c>
      <c r="H55" s="40"/>
      <c r="J55" s="25">
        <v>0.7626515</v>
      </c>
      <c r="K55" s="12">
        <v>0.209392228514551</v>
      </c>
      <c r="L55" s="25">
        <v>0.18969489</v>
      </c>
      <c r="N55" s="27"/>
    </row>
    <row r="56">
      <c r="A56" s="1" t="s">
        <v>137</v>
      </c>
      <c r="B56" s="8" t="s">
        <v>138</v>
      </c>
      <c r="C56" s="8" t="s">
        <v>129</v>
      </c>
      <c r="D56" s="13">
        <v>0.0</v>
      </c>
      <c r="E56" s="12">
        <v>0.0</v>
      </c>
      <c r="F56" s="13">
        <v>0.0</v>
      </c>
      <c r="H56" s="40"/>
      <c r="J56" s="25">
        <v>0.0</v>
      </c>
      <c r="K56" s="12">
        <v>0.0</v>
      </c>
      <c r="L56" s="25">
        <v>0.0</v>
      </c>
      <c r="N56" s="27"/>
    </row>
    <row r="57">
      <c r="A57" s="1" t="s">
        <v>139</v>
      </c>
      <c r="B57" s="8" t="s">
        <v>140</v>
      </c>
      <c r="C57" s="8" t="s">
        <v>129</v>
      </c>
      <c r="D57" s="13">
        <v>0.003289683</v>
      </c>
      <c r="E57" s="12">
        <v>0.00329403</v>
      </c>
      <c r="F57" s="13">
        <v>0.00329409</v>
      </c>
      <c r="H57" s="40"/>
      <c r="J57" s="25">
        <v>0.01372871</v>
      </c>
      <c r="K57" s="12">
        <v>0.01373606</v>
      </c>
      <c r="L57" s="25">
        <v>0.01373631</v>
      </c>
      <c r="N57" s="27"/>
    </row>
    <row r="58">
      <c r="A58" s="1" t="s">
        <v>141</v>
      </c>
      <c r="B58" s="8" t="s">
        <v>142</v>
      </c>
      <c r="C58" s="8" t="s">
        <v>129</v>
      </c>
      <c r="D58" s="13">
        <v>1.135578E-6</v>
      </c>
      <c r="E58" s="12">
        <v>1.5571205592898E-6</v>
      </c>
      <c r="F58" s="13">
        <v>1.7537269E-6</v>
      </c>
      <c r="H58" s="40"/>
      <c r="J58" s="25">
        <v>2.618442E-5</v>
      </c>
      <c r="K58" s="12">
        <v>1.36828006779499E-5</v>
      </c>
      <c r="L58" s="25">
        <v>2.14087091E-5</v>
      </c>
      <c r="N58" s="27"/>
    </row>
    <row r="59">
      <c r="B59" s="28"/>
      <c r="C59" s="28"/>
      <c r="D59" s="40"/>
      <c r="E59" s="55"/>
      <c r="F59" s="56"/>
      <c r="H59" s="40"/>
      <c r="J59" s="27"/>
      <c r="K59" s="53"/>
      <c r="L59" s="27"/>
      <c r="N59" s="27"/>
    </row>
    <row r="60">
      <c r="A60" s="20" t="s">
        <v>143</v>
      </c>
      <c r="B60" s="22"/>
      <c r="C60" s="22"/>
      <c r="D60" s="23"/>
      <c r="E60" s="24"/>
      <c r="F60" s="24"/>
      <c r="G60" s="23"/>
      <c r="H60" s="23"/>
      <c r="J60" s="23"/>
      <c r="K60" s="24"/>
      <c r="L60" s="24"/>
      <c r="M60" s="23"/>
      <c r="N60" s="23"/>
      <c r="O60" s="23"/>
      <c r="P60" s="23"/>
      <c r="Q60" s="23"/>
      <c r="R60" s="23"/>
      <c r="S60" s="23"/>
      <c r="T60" s="23"/>
      <c r="U60" s="23"/>
      <c r="V60" s="23"/>
      <c r="W60" s="23"/>
      <c r="X60" s="23"/>
      <c r="Y60" s="23"/>
      <c r="Z60" s="23"/>
      <c r="AA60" s="23"/>
      <c r="AB60" s="23"/>
    </row>
    <row r="61">
      <c r="A61" s="47" t="s">
        <v>144</v>
      </c>
      <c r="B61" s="48"/>
      <c r="C61" s="48"/>
      <c r="D61" s="51">
        <f t="shared" ref="D61:H61" si="7">D17^2*(D51+2*sum(D53:D57))/(D51^2-D17^2*D58^2)</f>
        <v>17584.49726</v>
      </c>
      <c r="E61" s="51">
        <f t="shared" si="7"/>
        <v>21556.3397</v>
      </c>
      <c r="F61" s="51">
        <f t="shared" si="7"/>
        <v>20910.5351</v>
      </c>
      <c r="G61" s="51" t="str">
        <f t="shared" si="7"/>
        <v>#DIV/0!</v>
      </c>
      <c r="H61" s="51" t="str">
        <f t="shared" si="7"/>
        <v>#DIV/0!</v>
      </c>
      <c r="I61" s="26"/>
      <c r="J61" s="51">
        <f t="shared" ref="J61:N61" si="8">J17^2*(J51+2*sum(J53:J57))/(J51^2-J17^2*J58^2)</f>
        <v>102756.3954</v>
      </c>
      <c r="K61" s="51">
        <f t="shared" si="8"/>
        <v>57618.18603</v>
      </c>
      <c r="L61" s="51">
        <f t="shared" si="8"/>
        <v>26815.33737</v>
      </c>
      <c r="M61" s="51" t="str">
        <f t="shared" si="8"/>
        <v>#DIV/0!</v>
      </c>
      <c r="N61" s="51" t="str">
        <f t="shared" si="8"/>
        <v>#DIV/0!</v>
      </c>
      <c r="O61" s="26"/>
      <c r="P61" s="28"/>
      <c r="Q61" s="28"/>
      <c r="R61" s="28"/>
      <c r="S61" s="28"/>
      <c r="T61" s="28"/>
      <c r="U61" s="28"/>
    </row>
    <row r="62">
      <c r="A62" s="47" t="s">
        <v>145</v>
      </c>
      <c r="B62" s="50"/>
      <c r="C62" s="50"/>
      <c r="D62" s="54">
        <f t="shared" ref="D62:H62" si="9">D17^2*(sum(D53:D57))/(D51^2-D17^2*D58^2)</f>
        <v>7976.404548</v>
      </c>
      <c r="E62" s="54">
        <f t="shared" si="9"/>
        <v>10017.00093</v>
      </c>
      <c r="F62" s="54">
        <f t="shared" si="9"/>
        <v>9669.604587</v>
      </c>
      <c r="G62" s="54" t="str">
        <f t="shared" si="9"/>
        <v>#DIV/0!</v>
      </c>
      <c r="H62" s="54" t="str">
        <f t="shared" si="9"/>
        <v>#DIV/0!</v>
      </c>
      <c r="I62" s="55"/>
      <c r="J62" s="54">
        <f t="shared" ref="J62:N62" si="10">J17^2*(sum(J53:J57))/(J51^2-J17^2*J58^2)</f>
        <v>50525.12444</v>
      </c>
      <c r="K62" s="54">
        <f t="shared" si="10"/>
        <v>27648.35085</v>
      </c>
      <c r="L62" s="54">
        <f t="shared" si="10"/>
        <v>12701.16486</v>
      </c>
      <c r="M62" s="54" t="str">
        <f t="shared" si="10"/>
        <v>#DIV/0!</v>
      </c>
      <c r="N62" s="54" t="str">
        <f t="shared" si="10"/>
        <v>#DIV/0!</v>
      </c>
      <c r="O62" s="45"/>
      <c r="P62" s="45"/>
      <c r="Q62" s="45"/>
      <c r="R62" s="45"/>
      <c r="S62" s="45"/>
      <c r="T62" s="45"/>
      <c r="U62" s="45"/>
      <c r="V62" s="45"/>
      <c r="W62" s="45"/>
      <c r="X62" s="45"/>
      <c r="Y62" s="45"/>
      <c r="Z62" s="45"/>
      <c r="AA62" s="45"/>
      <c r="AB62" s="45"/>
    </row>
    <row r="63">
      <c r="A63" s="1" t="s">
        <v>146</v>
      </c>
      <c r="B63" s="8" t="s">
        <v>147</v>
      </c>
      <c r="C63" s="8" t="s">
        <v>56</v>
      </c>
      <c r="D63" s="13">
        <v>17584.47</v>
      </c>
      <c r="E63" s="12">
        <v>10017.0024244567</v>
      </c>
      <c r="F63" s="13">
        <v>9712.40784779</v>
      </c>
      <c r="H63" s="40"/>
      <c r="J63" s="13">
        <v>102755.7</v>
      </c>
      <c r="K63" s="12">
        <v>27648.3556865326</v>
      </c>
      <c r="L63" s="13">
        <v>12701.16704766</v>
      </c>
      <c r="N63" s="40"/>
    </row>
    <row r="64">
      <c r="A64" s="1" t="s">
        <v>149</v>
      </c>
      <c r="B64" s="8" t="s">
        <v>150</v>
      </c>
      <c r="C64" s="8" t="s">
        <v>56</v>
      </c>
      <c r="D64" s="13">
        <v>27592.81</v>
      </c>
      <c r="E64" s="12">
        <v>19298.7026669024</v>
      </c>
      <c r="F64" s="13">
        <v>17992.40496779</v>
      </c>
      <c r="H64" s="40"/>
      <c r="J64" s="13">
        <v>121281.1</v>
      </c>
      <c r="K64" s="12">
        <v>38693.1912551858</v>
      </c>
      <c r="L64" s="13">
        <v>20981.16416766</v>
      </c>
      <c r="N64" s="40"/>
    </row>
    <row r="65">
      <c r="B65" s="28"/>
      <c r="C65" s="28"/>
      <c r="E65" s="55"/>
      <c r="F65" s="55"/>
      <c r="K65" s="55"/>
      <c r="L65" s="55"/>
    </row>
    <row r="66">
      <c r="B66" s="28"/>
      <c r="C66" s="28"/>
      <c r="E66" s="55"/>
      <c r="F66" s="55"/>
      <c r="K66" s="55"/>
      <c r="L66" s="55"/>
    </row>
    <row r="67">
      <c r="B67" s="28"/>
      <c r="C67" s="28"/>
      <c r="E67" s="55"/>
      <c r="F67" s="55"/>
      <c r="K67" s="55"/>
      <c r="L67" s="55"/>
    </row>
    <row r="68">
      <c r="B68" s="28"/>
      <c r="C68" s="28"/>
      <c r="E68" s="55"/>
      <c r="F68" s="55"/>
      <c r="K68" s="55"/>
      <c r="L68" s="55"/>
    </row>
    <row r="69">
      <c r="B69" s="28"/>
      <c r="C69" s="28"/>
      <c r="E69" s="55"/>
      <c r="F69" s="55"/>
      <c r="K69" s="55"/>
      <c r="L69" s="55"/>
    </row>
    <row r="70">
      <c r="B70" s="28"/>
      <c r="C70" s="28"/>
      <c r="E70" s="55"/>
      <c r="F70" s="55"/>
      <c r="K70" s="55"/>
      <c r="L70" s="55"/>
    </row>
    <row r="71">
      <c r="B71" s="28"/>
      <c r="C71" s="28"/>
      <c r="E71" s="55"/>
      <c r="F71" s="55"/>
      <c r="K71" s="55"/>
      <c r="L71" s="55"/>
    </row>
    <row r="72">
      <c r="B72" s="28"/>
      <c r="C72" s="28"/>
      <c r="E72" s="55"/>
      <c r="F72" s="55"/>
      <c r="K72" s="55"/>
      <c r="L72" s="55"/>
    </row>
    <row r="73">
      <c r="B73" s="28"/>
      <c r="C73" s="28"/>
      <c r="E73" s="55"/>
      <c r="F73" s="55"/>
      <c r="K73" s="55"/>
      <c r="L73" s="55"/>
    </row>
    <row r="74">
      <c r="B74" s="28"/>
      <c r="C74" s="28"/>
      <c r="E74" s="55"/>
      <c r="F74" s="55"/>
      <c r="K74" s="55"/>
      <c r="L74" s="55"/>
    </row>
    <row r="75">
      <c r="B75" s="28"/>
      <c r="C75" s="28"/>
      <c r="E75" s="55"/>
      <c r="F75" s="55"/>
      <c r="K75" s="55"/>
      <c r="L75" s="55"/>
    </row>
    <row r="76">
      <c r="B76" s="28"/>
      <c r="C76" s="28"/>
      <c r="E76" s="55"/>
      <c r="F76" s="55"/>
      <c r="K76" s="55"/>
      <c r="L76" s="55"/>
    </row>
    <row r="77">
      <c r="B77" s="28"/>
      <c r="C77" s="28"/>
      <c r="E77" s="55"/>
      <c r="F77" s="55"/>
      <c r="K77" s="55"/>
      <c r="L77" s="55"/>
    </row>
    <row r="78">
      <c r="B78" s="28"/>
      <c r="C78" s="28"/>
      <c r="E78" s="55"/>
      <c r="F78" s="55"/>
      <c r="K78" s="55"/>
      <c r="L78" s="55"/>
    </row>
    <row r="79">
      <c r="B79" s="28"/>
      <c r="C79" s="28"/>
      <c r="E79" s="55"/>
      <c r="F79" s="55"/>
      <c r="K79" s="55"/>
      <c r="L79" s="55"/>
    </row>
    <row r="80">
      <c r="B80" s="28"/>
      <c r="C80" s="28"/>
      <c r="E80" s="55"/>
      <c r="F80" s="55"/>
      <c r="K80" s="55"/>
      <c r="L80" s="55"/>
    </row>
    <row r="81">
      <c r="B81" s="28"/>
      <c r="C81" s="28"/>
      <c r="E81" s="55"/>
      <c r="F81" s="55"/>
      <c r="K81" s="55"/>
      <c r="L81" s="55"/>
    </row>
    <row r="82">
      <c r="B82" s="28"/>
      <c r="C82" s="28"/>
      <c r="E82" s="55"/>
      <c r="F82" s="55"/>
      <c r="K82" s="55"/>
      <c r="L82" s="55"/>
    </row>
    <row r="83">
      <c r="B83" s="28"/>
      <c r="C83" s="28"/>
      <c r="E83" s="55"/>
      <c r="F83" s="55"/>
      <c r="K83" s="55"/>
      <c r="L83" s="55"/>
    </row>
    <row r="84">
      <c r="B84" s="28"/>
      <c r="C84" s="28"/>
      <c r="E84" s="55"/>
      <c r="F84" s="55"/>
      <c r="K84" s="55"/>
      <c r="L84" s="55"/>
    </row>
    <row r="85">
      <c r="B85" s="28"/>
      <c r="C85" s="28"/>
      <c r="E85" s="55"/>
      <c r="F85" s="55"/>
      <c r="K85" s="55"/>
      <c r="L85" s="55"/>
    </row>
    <row r="86">
      <c r="B86" s="28"/>
      <c r="C86" s="28"/>
      <c r="E86" s="55"/>
      <c r="F86" s="55"/>
      <c r="K86" s="55"/>
      <c r="L86" s="55"/>
    </row>
    <row r="87">
      <c r="B87" s="28"/>
      <c r="C87" s="28"/>
      <c r="E87" s="55"/>
      <c r="F87" s="55"/>
      <c r="K87" s="55"/>
      <c r="L87" s="55"/>
    </row>
    <row r="88">
      <c r="B88" s="28"/>
      <c r="C88" s="28"/>
      <c r="E88" s="55"/>
      <c r="F88" s="55"/>
      <c r="K88" s="55"/>
      <c r="L88" s="55"/>
    </row>
    <row r="89">
      <c r="B89" s="28"/>
      <c r="C89" s="28"/>
      <c r="E89" s="55"/>
      <c r="F89" s="55"/>
      <c r="K89" s="55"/>
      <c r="L89" s="55"/>
    </row>
    <row r="90">
      <c r="B90" s="28"/>
      <c r="C90" s="28"/>
      <c r="E90" s="55"/>
      <c r="F90" s="55"/>
      <c r="K90" s="55"/>
      <c r="L90" s="55"/>
    </row>
    <row r="91">
      <c r="B91" s="28"/>
      <c r="C91" s="28"/>
      <c r="E91" s="55"/>
      <c r="F91" s="55"/>
      <c r="K91" s="55"/>
      <c r="L91" s="55"/>
    </row>
    <row r="92">
      <c r="B92" s="28"/>
      <c r="C92" s="28"/>
      <c r="E92" s="55"/>
      <c r="F92" s="55"/>
      <c r="K92" s="55"/>
      <c r="L92" s="55"/>
    </row>
    <row r="93">
      <c r="B93" s="28"/>
      <c r="C93" s="28"/>
      <c r="E93" s="55"/>
      <c r="F93" s="55"/>
      <c r="K93" s="55"/>
      <c r="L93" s="55"/>
    </row>
    <row r="94">
      <c r="B94" s="28"/>
      <c r="C94" s="28"/>
      <c r="E94" s="55"/>
      <c r="F94" s="55"/>
      <c r="K94" s="55"/>
      <c r="L94" s="55"/>
    </row>
    <row r="95">
      <c r="B95" s="28"/>
      <c r="C95" s="28"/>
      <c r="E95" s="55"/>
      <c r="F95" s="55"/>
      <c r="K95" s="55"/>
      <c r="L95" s="55"/>
    </row>
    <row r="96">
      <c r="B96" s="28"/>
      <c r="C96" s="28"/>
      <c r="E96" s="55"/>
      <c r="F96" s="55"/>
      <c r="K96" s="55"/>
      <c r="L96" s="55"/>
    </row>
    <row r="97">
      <c r="B97" s="28"/>
      <c r="C97" s="28"/>
      <c r="E97" s="55"/>
      <c r="F97" s="55"/>
      <c r="K97" s="55"/>
      <c r="L97" s="55"/>
    </row>
    <row r="98">
      <c r="B98" s="28"/>
      <c r="C98" s="28"/>
      <c r="E98" s="55"/>
      <c r="F98" s="55"/>
      <c r="K98" s="55"/>
      <c r="L98" s="55"/>
    </row>
    <row r="99">
      <c r="B99" s="28"/>
      <c r="C99" s="28"/>
      <c r="E99" s="55"/>
      <c r="F99" s="55"/>
      <c r="K99" s="55"/>
      <c r="L99" s="55"/>
    </row>
    <row r="100">
      <c r="B100" s="28"/>
      <c r="C100" s="28"/>
      <c r="E100" s="55"/>
      <c r="F100" s="55"/>
      <c r="K100" s="55"/>
      <c r="L100" s="55"/>
    </row>
    <row r="101">
      <c r="B101" s="28"/>
      <c r="C101" s="28"/>
      <c r="E101" s="55"/>
      <c r="F101" s="55"/>
      <c r="K101" s="55"/>
      <c r="L101" s="55"/>
    </row>
    <row r="102">
      <c r="B102" s="28"/>
      <c r="C102" s="28"/>
      <c r="E102" s="55"/>
      <c r="F102" s="55"/>
      <c r="K102" s="55"/>
      <c r="L102" s="55"/>
    </row>
    <row r="103">
      <c r="B103" s="28"/>
      <c r="C103" s="28"/>
      <c r="E103" s="55"/>
      <c r="F103" s="55"/>
      <c r="K103" s="55"/>
      <c r="L103" s="55"/>
    </row>
    <row r="104">
      <c r="B104" s="28"/>
      <c r="C104" s="28"/>
      <c r="E104" s="55"/>
      <c r="F104" s="55"/>
      <c r="K104" s="55"/>
      <c r="L104" s="55"/>
    </row>
    <row r="105">
      <c r="B105" s="28"/>
      <c r="C105" s="28"/>
      <c r="E105" s="55"/>
      <c r="F105" s="55"/>
      <c r="K105" s="55"/>
      <c r="L105" s="55"/>
    </row>
    <row r="106">
      <c r="B106" s="28"/>
      <c r="C106" s="28"/>
      <c r="E106" s="55"/>
      <c r="F106" s="55"/>
      <c r="K106" s="55"/>
      <c r="L106" s="55"/>
    </row>
    <row r="107">
      <c r="B107" s="28"/>
      <c r="C107" s="28"/>
      <c r="E107" s="55"/>
      <c r="F107" s="55"/>
      <c r="K107" s="55"/>
      <c r="L107" s="55"/>
    </row>
    <row r="108">
      <c r="B108" s="28"/>
      <c r="C108" s="28"/>
      <c r="E108" s="55"/>
      <c r="F108" s="55"/>
      <c r="K108" s="55"/>
      <c r="L108" s="55"/>
    </row>
    <row r="109">
      <c r="B109" s="28"/>
      <c r="C109" s="28"/>
      <c r="E109" s="55"/>
      <c r="F109" s="55"/>
      <c r="K109" s="55"/>
      <c r="L109" s="55"/>
    </row>
    <row r="110">
      <c r="B110" s="28"/>
      <c r="C110" s="28"/>
      <c r="E110" s="55"/>
      <c r="F110" s="55"/>
      <c r="K110" s="55"/>
      <c r="L110" s="55"/>
    </row>
    <row r="111">
      <c r="B111" s="28"/>
      <c r="C111" s="28"/>
      <c r="E111" s="55"/>
      <c r="F111" s="55"/>
      <c r="K111" s="55"/>
      <c r="L111" s="55"/>
    </row>
    <row r="112">
      <c r="B112" s="28"/>
      <c r="C112" s="28"/>
      <c r="E112" s="55"/>
      <c r="F112" s="55"/>
      <c r="K112" s="55"/>
      <c r="L112" s="55"/>
    </row>
    <row r="113">
      <c r="B113" s="28"/>
      <c r="C113" s="28"/>
      <c r="E113" s="55"/>
      <c r="F113" s="55"/>
      <c r="K113" s="55"/>
      <c r="L113" s="55"/>
    </row>
    <row r="114">
      <c r="B114" s="28"/>
      <c r="C114" s="28"/>
      <c r="E114" s="55"/>
      <c r="F114" s="55"/>
      <c r="K114" s="55"/>
      <c r="L114" s="55"/>
    </row>
    <row r="115">
      <c r="B115" s="28"/>
      <c r="C115" s="28"/>
      <c r="E115" s="55"/>
      <c r="F115" s="55"/>
      <c r="K115" s="55"/>
      <c r="L115" s="55"/>
    </row>
    <row r="116">
      <c r="B116" s="28"/>
      <c r="C116" s="28"/>
      <c r="E116" s="55"/>
      <c r="F116" s="55"/>
      <c r="K116" s="55"/>
      <c r="L116" s="55"/>
    </row>
    <row r="117">
      <c r="B117" s="28"/>
      <c r="C117" s="28"/>
      <c r="E117" s="55"/>
      <c r="F117" s="55"/>
      <c r="K117" s="55"/>
      <c r="L117" s="55"/>
    </row>
    <row r="118">
      <c r="B118" s="28"/>
      <c r="C118" s="28"/>
      <c r="E118" s="55"/>
      <c r="F118" s="55"/>
      <c r="K118" s="55"/>
      <c r="L118" s="55"/>
    </row>
    <row r="119">
      <c r="B119" s="28"/>
      <c r="C119" s="28"/>
      <c r="E119" s="55"/>
      <c r="F119" s="55"/>
      <c r="K119" s="55"/>
      <c r="L119" s="55"/>
    </row>
    <row r="120">
      <c r="B120" s="28"/>
      <c r="C120" s="28"/>
      <c r="E120" s="55"/>
      <c r="F120" s="55"/>
      <c r="K120" s="55"/>
      <c r="L120" s="55"/>
    </row>
    <row r="121">
      <c r="B121" s="28"/>
      <c r="C121" s="28"/>
      <c r="E121" s="55"/>
      <c r="F121" s="55"/>
      <c r="K121" s="55"/>
      <c r="L121" s="55"/>
    </row>
    <row r="122">
      <c r="B122" s="28"/>
      <c r="C122" s="28"/>
      <c r="E122" s="55"/>
      <c r="F122" s="55"/>
      <c r="K122" s="55"/>
      <c r="L122" s="55"/>
    </row>
    <row r="123">
      <c r="B123" s="28"/>
      <c r="C123" s="28"/>
      <c r="E123" s="55"/>
      <c r="F123" s="55"/>
      <c r="K123" s="55"/>
      <c r="L123" s="55"/>
    </row>
    <row r="124">
      <c r="B124" s="28"/>
      <c r="C124" s="28"/>
      <c r="E124" s="55"/>
      <c r="F124" s="55"/>
      <c r="K124" s="55"/>
      <c r="L124" s="55"/>
    </row>
    <row r="125">
      <c r="B125" s="28"/>
      <c r="C125" s="28"/>
      <c r="E125" s="55"/>
      <c r="F125" s="55"/>
      <c r="K125" s="55"/>
      <c r="L125" s="55"/>
    </row>
    <row r="126">
      <c r="B126" s="28"/>
      <c r="C126" s="28"/>
      <c r="E126" s="55"/>
      <c r="F126" s="55"/>
      <c r="K126" s="55"/>
      <c r="L126" s="55"/>
    </row>
    <row r="127">
      <c r="B127" s="28"/>
      <c r="C127" s="28"/>
      <c r="E127" s="55"/>
      <c r="F127" s="55"/>
      <c r="K127" s="55"/>
      <c r="L127" s="55"/>
    </row>
    <row r="128">
      <c r="B128" s="28"/>
      <c r="C128" s="28"/>
      <c r="E128" s="55"/>
      <c r="F128" s="55"/>
      <c r="K128" s="55"/>
      <c r="L128" s="55"/>
    </row>
    <row r="129">
      <c r="B129" s="28"/>
      <c r="C129" s="28"/>
      <c r="E129" s="55"/>
      <c r="F129" s="55"/>
      <c r="K129" s="55"/>
      <c r="L129" s="55"/>
    </row>
    <row r="130">
      <c r="B130" s="28"/>
      <c r="C130" s="28"/>
      <c r="E130" s="55"/>
      <c r="F130" s="55"/>
      <c r="K130" s="55"/>
      <c r="L130" s="55"/>
    </row>
    <row r="131">
      <c r="B131" s="28"/>
      <c r="C131" s="28"/>
      <c r="E131" s="55"/>
      <c r="F131" s="55"/>
      <c r="K131" s="55"/>
      <c r="L131" s="55"/>
    </row>
    <row r="132">
      <c r="B132" s="28"/>
      <c r="C132" s="28"/>
      <c r="E132" s="55"/>
      <c r="F132" s="55"/>
      <c r="K132" s="55"/>
      <c r="L132" s="55"/>
    </row>
    <row r="133">
      <c r="B133" s="28"/>
      <c r="C133" s="28"/>
      <c r="E133" s="55"/>
      <c r="F133" s="55"/>
      <c r="K133" s="55"/>
      <c r="L133" s="55"/>
    </row>
    <row r="134">
      <c r="B134" s="28"/>
      <c r="C134" s="28"/>
      <c r="E134" s="55"/>
      <c r="F134" s="55"/>
      <c r="K134" s="55"/>
      <c r="L134" s="55"/>
    </row>
    <row r="135">
      <c r="B135" s="28"/>
      <c r="C135" s="28"/>
      <c r="E135" s="55"/>
      <c r="F135" s="55"/>
      <c r="K135" s="55"/>
      <c r="L135" s="55"/>
    </row>
    <row r="136">
      <c r="B136" s="28"/>
      <c r="C136" s="28"/>
      <c r="E136" s="55"/>
      <c r="F136" s="55"/>
      <c r="K136" s="55"/>
      <c r="L136" s="55"/>
    </row>
    <row r="137">
      <c r="B137" s="28"/>
      <c r="C137" s="28"/>
      <c r="E137" s="55"/>
      <c r="F137" s="55"/>
      <c r="K137" s="55"/>
      <c r="L137" s="55"/>
    </row>
    <row r="138">
      <c r="B138" s="28"/>
      <c r="C138" s="28"/>
      <c r="E138" s="55"/>
      <c r="F138" s="55"/>
      <c r="K138" s="55"/>
      <c r="L138" s="55"/>
    </row>
    <row r="139">
      <c r="B139" s="28"/>
      <c r="C139" s="28"/>
      <c r="E139" s="55"/>
      <c r="F139" s="55"/>
      <c r="K139" s="55"/>
      <c r="L139" s="55"/>
    </row>
    <row r="140">
      <c r="B140" s="28"/>
      <c r="C140" s="28"/>
      <c r="E140" s="55"/>
      <c r="F140" s="55"/>
      <c r="K140" s="55"/>
      <c r="L140" s="55"/>
    </row>
    <row r="141">
      <c r="B141" s="28"/>
      <c r="C141" s="28"/>
      <c r="E141" s="55"/>
      <c r="F141" s="55"/>
      <c r="K141" s="55"/>
      <c r="L141" s="55"/>
    </row>
    <row r="142">
      <c r="B142" s="28"/>
      <c r="C142" s="28"/>
      <c r="E142" s="55"/>
      <c r="F142" s="55"/>
      <c r="K142" s="55"/>
      <c r="L142" s="55"/>
    </row>
    <row r="143">
      <c r="B143" s="28"/>
      <c r="C143" s="28"/>
      <c r="E143" s="55"/>
      <c r="F143" s="55"/>
      <c r="K143" s="55"/>
      <c r="L143" s="55"/>
    </row>
    <row r="144">
      <c r="B144" s="28"/>
      <c r="C144" s="28"/>
      <c r="E144" s="55"/>
      <c r="F144" s="55"/>
      <c r="K144" s="55"/>
      <c r="L144" s="55"/>
    </row>
    <row r="145">
      <c r="B145" s="28"/>
      <c r="C145" s="28"/>
      <c r="E145" s="55"/>
      <c r="F145" s="55"/>
      <c r="K145" s="55"/>
      <c r="L145" s="55"/>
    </row>
    <row r="146">
      <c r="B146" s="28"/>
      <c r="C146" s="28"/>
      <c r="E146" s="55"/>
      <c r="F146" s="55"/>
      <c r="K146" s="55"/>
      <c r="L146" s="55"/>
    </row>
    <row r="147">
      <c r="B147" s="28"/>
      <c r="C147" s="28"/>
      <c r="E147" s="55"/>
      <c r="F147" s="55"/>
      <c r="K147" s="55"/>
      <c r="L147" s="55"/>
    </row>
    <row r="148">
      <c r="B148" s="28"/>
      <c r="C148" s="28"/>
      <c r="E148" s="55"/>
      <c r="F148" s="55"/>
      <c r="K148" s="55"/>
      <c r="L148" s="55"/>
    </row>
    <row r="149">
      <c r="B149" s="28"/>
      <c r="C149" s="28"/>
      <c r="E149" s="55"/>
      <c r="F149" s="55"/>
      <c r="K149" s="55"/>
      <c r="L149" s="55"/>
    </row>
    <row r="150">
      <c r="B150" s="28"/>
      <c r="C150" s="28"/>
      <c r="E150" s="55"/>
      <c r="F150" s="55"/>
      <c r="K150" s="55"/>
      <c r="L150" s="55"/>
    </row>
    <row r="151">
      <c r="B151" s="28"/>
      <c r="C151" s="28"/>
      <c r="E151" s="55"/>
      <c r="F151" s="55"/>
      <c r="K151" s="55"/>
      <c r="L151" s="55"/>
    </row>
    <row r="152">
      <c r="B152" s="28"/>
      <c r="C152" s="28"/>
      <c r="E152" s="55"/>
      <c r="F152" s="55"/>
      <c r="K152" s="55"/>
      <c r="L152" s="55"/>
    </row>
    <row r="153">
      <c r="B153" s="28"/>
      <c r="C153" s="28"/>
      <c r="E153" s="55"/>
      <c r="F153" s="55"/>
      <c r="K153" s="55"/>
      <c r="L153" s="55"/>
    </row>
    <row r="154">
      <c r="B154" s="28"/>
      <c r="C154" s="28"/>
      <c r="E154" s="55"/>
      <c r="F154" s="55"/>
      <c r="K154" s="55"/>
      <c r="L154" s="55"/>
    </row>
    <row r="155">
      <c r="B155" s="28"/>
      <c r="C155" s="28"/>
      <c r="E155" s="55"/>
      <c r="F155" s="55"/>
      <c r="K155" s="55"/>
      <c r="L155" s="55"/>
    </row>
    <row r="156">
      <c r="B156" s="28"/>
      <c r="C156" s="28"/>
      <c r="E156" s="55"/>
      <c r="F156" s="55"/>
      <c r="K156" s="55"/>
      <c r="L156" s="55"/>
    </row>
    <row r="157">
      <c r="B157" s="28"/>
      <c r="C157" s="28"/>
      <c r="E157" s="55"/>
      <c r="F157" s="55"/>
      <c r="K157" s="55"/>
      <c r="L157" s="55"/>
    </row>
    <row r="158">
      <c r="B158" s="28"/>
      <c r="C158" s="28"/>
      <c r="E158" s="55"/>
      <c r="F158" s="55"/>
      <c r="K158" s="55"/>
      <c r="L158" s="55"/>
    </row>
    <row r="159">
      <c r="B159" s="28"/>
      <c r="C159" s="28"/>
      <c r="E159" s="55"/>
      <c r="F159" s="55"/>
      <c r="K159" s="55"/>
      <c r="L159" s="55"/>
    </row>
    <row r="160">
      <c r="B160" s="28"/>
      <c r="C160" s="28"/>
      <c r="E160" s="55"/>
      <c r="F160" s="55"/>
      <c r="K160" s="55"/>
      <c r="L160" s="55"/>
    </row>
    <row r="161">
      <c r="B161" s="28"/>
      <c r="C161" s="28"/>
      <c r="E161" s="55"/>
      <c r="F161" s="55"/>
      <c r="K161" s="55"/>
      <c r="L161" s="55"/>
    </row>
    <row r="162">
      <c r="B162" s="28"/>
      <c r="C162" s="28"/>
      <c r="E162" s="55"/>
      <c r="F162" s="55"/>
      <c r="K162" s="55"/>
      <c r="L162" s="55"/>
    </row>
    <row r="163">
      <c r="B163" s="28"/>
      <c r="C163" s="28"/>
      <c r="E163" s="55"/>
      <c r="F163" s="55"/>
      <c r="K163" s="55"/>
      <c r="L163" s="55"/>
    </row>
    <row r="164">
      <c r="B164" s="28"/>
      <c r="C164" s="28"/>
      <c r="E164" s="55"/>
      <c r="F164" s="55"/>
      <c r="K164" s="55"/>
      <c r="L164" s="55"/>
    </row>
    <row r="165">
      <c r="B165" s="28"/>
      <c r="C165" s="28"/>
      <c r="E165" s="55"/>
      <c r="F165" s="55"/>
      <c r="K165" s="55"/>
      <c r="L165" s="55"/>
    </row>
    <row r="166">
      <c r="B166" s="28"/>
      <c r="C166" s="28"/>
      <c r="E166" s="55"/>
      <c r="F166" s="55"/>
      <c r="K166" s="55"/>
      <c r="L166" s="55"/>
    </row>
    <row r="167">
      <c r="B167" s="28"/>
      <c r="C167" s="28"/>
      <c r="E167" s="55"/>
      <c r="F167" s="55"/>
      <c r="K167" s="55"/>
      <c r="L167" s="55"/>
    </row>
    <row r="168">
      <c r="B168" s="28"/>
      <c r="C168" s="28"/>
      <c r="E168" s="55"/>
      <c r="F168" s="55"/>
      <c r="K168" s="55"/>
      <c r="L168" s="55"/>
    </row>
    <row r="169">
      <c r="B169" s="28"/>
      <c r="C169" s="28"/>
      <c r="E169" s="55"/>
      <c r="F169" s="55"/>
      <c r="K169" s="55"/>
      <c r="L169" s="55"/>
    </row>
    <row r="170">
      <c r="B170" s="28"/>
      <c r="C170" s="28"/>
      <c r="E170" s="55"/>
      <c r="F170" s="55"/>
      <c r="K170" s="55"/>
      <c r="L170" s="55"/>
    </row>
    <row r="171">
      <c r="B171" s="28"/>
      <c r="C171" s="28"/>
      <c r="E171" s="55"/>
      <c r="F171" s="55"/>
      <c r="K171" s="55"/>
      <c r="L171" s="55"/>
    </row>
    <row r="172">
      <c r="B172" s="28"/>
      <c r="C172" s="28"/>
      <c r="E172" s="55"/>
      <c r="F172" s="55"/>
      <c r="K172" s="55"/>
      <c r="L172" s="55"/>
    </row>
    <row r="173">
      <c r="B173" s="28"/>
      <c r="C173" s="28"/>
      <c r="E173" s="55"/>
      <c r="F173" s="55"/>
      <c r="K173" s="55"/>
      <c r="L173" s="55"/>
    </row>
    <row r="174">
      <c r="B174" s="28"/>
      <c r="C174" s="28"/>
      <c r="E174" s="55"/>
      <c r="F174" s="55"/>
      <c r="K174" s="55"/>
      <c r="L174" s="55"/>
    </row>
    <row r="175">
      <c r="B175" s="28"/>
      <c r="C175" s="28"/>
      <c r="E175" s="55"/>
      <c r="F175" s="55"/>
      <c r="K175" s="55"/>
      <c r="L175" s="55"/>
    </row>
    <row r="176">
      <c r="B176" s="28"/>
      <c r="C176" s="28"/>
      <c r="E176" s="55"/>
      <c r="F176" s="55"/>
      <c r="K176" s="55"/>
      <c r="L176" s="55"/>
    </row>
    <row r="177">
      <c r="B177" s="28"/>
      <c r="C177" s="28"/>
      <c r="E177" s="55"/>
      <c r="F177" s="55"/>
      <c r="K177" s="55"/>
      <c r="L177" s="55"/>
    </row>
    <row r="178">
      <c r="B178" s="28"/>
      <c r="C178" s="28"/>
      <c r="E178" s="55"/>
      <c r="F178" s="55"/>
      <c r="K178" s="55"/>
      <c r="L178" s="55"/>
    </row>
    <row r="179">
      <c r="B179" s="28"/>
      <c r="C179" s="28"/>
      <c r="E179" s="55"/>
      <c r="F179" s="55"/>
      <c r="K179" s="55"/>
      <c r="L179" s="55"/>
    </row>
    <row r="180">
      <c r="B180" s="28"/>
      <c r="C180" s="28"/>
      <c r="E180" s="55"/>
      <c r="F180" s="55"/>
      <c r="K180" s="55"/>
      <c r="L180" s="55"/>
    </row>
    <row r="181">
      <c r="B181" s="28"/>
      <c r="C181" s="28"/>
      <c r="E181" s="55"/>
      <c r="F181" s="55"/>
      <c r="K181" s="55"/>
      <c r="L181" s="55"/>
    </row>
    <row r="182">
      <c r="B182" s="28"/>
      <c r="C182" s="28"/>
      <c r="E182" s="55"/>
      <c r="F182" s="55"/>
      <c r="K182" s="55"/>
      <c r="L182" s="55"/>
    </row>
    <row r="183">
      <c r="B183" s="28"/>
      <c r="C183" s="28"/>
      <c r="E183" s="55"/>
      <c r="F183" s="55"/>
      <c r="K183" s="55"/>
      <c r="L183" s="55"/>
    </row>
    <row r="184">
      <c r="B184" s="28"/>
      <c r="C184" s="28"/>
      <c r="E184" s="55"/>
      <c r="F184" s="55"/>
      <c r="K184" s="55"/>
      <c r="L184" s="55"/>
    </row>
    <row r="185">
      <c r="B185" s="28"/>
      <c r="C185" s="28"/>
      <c r="E185" s="55"/>
      <c r="F185" s="55"/>
      <c r="K185" s="55"/>
      <c r="L185" s="55"/>
    </row>
    <row r="186">
      <c r="B186" s="28"/>
      <c r="C186" s="28"/>
      <c r="E186" s="55"/>
      <c r="F186" s="55"/>
      <c r="K186" s="55"/>
      <c r="L186" s="55"/>
    </row>
    <row r="187">
      <c r="B187" s="28"/>
      <c r="C187" s="28"/>
      <c r="E187" s="55"/>
      <c r="F187" s="55"/>
      <c r="K187" s="55"/>
      <c r="L187" s="55"/>
    </row>
    <row r="188">
      <c r="B188" s="28"/>
      <c r="C188" s="28"/>
      <c r="E188" s="55"/>
      <c r="F188" s="55"/>
      <c r="K188" s="55"/>
      <c r="L188" s="55"/>
    </row>
    <row r="189">
      <c r="B189" s="28"/>
      <c r="C189" s="28"/>
      <c r="E189" s="55"/>
      <c r="F189" s="55"/>
      <c r="K189" s="55"/>
      <c r="L189" s="55"/>
    </row>
    <row r="190">
      <c r="B190" s="28"/>
      <c r="C190" s="28"/>
      <c r="E190" s="55"/>
      <c r="F190" s="55"/>
      <c r="K190" s="55"/>
      <c r="L190" s="55"/>
    </row>
    <row r="191">
      <c r="B191" s="28"/>
      <c r="C191" s="28"/>
      <c r="E191" s="55"/>
      <c r="F191" s="55"/>
      <c r="K191" s="55"/>
      <c r="L191" s="55"/>
    </row>
    <row r="192">
      <c r="B192" s="28"/>
      <c r="C192" s="28"/>
      <c r="E192" s="55"/>
      <c r="F192" s="55"/>
      <c r="K192" s="55"/>
      <c r="L192" s="55"/>
    </row>
    <row r="193">
      <c r="B193" s="28"/>
      <c r="C193" s="28"/>
      <c r="E193" s="55"/>
      <c r="F193" s="55"/>
      <c r="K193" s="55"/>
      <c r="L193" s="55"/>
    </row>
    <row r="194">
      <c r="B194" s="28"/>
      <c r="C194" s="28"/>
      <c r="E194" s="55"/>
      <c r="F194" s="55"/>
      <c r="K194" s="55"/>
      <c r="L194" s="55"/>
    </row>
    <row r="195">
      <c r="B195" s="28"/>
      <c r="C195" s="28"/>
      <c r="E195" s="55"/>
      <c r="F195" s="55"/>
      <c r="K195" s="55"/>
      <c r="L195" s="55"/>
    </row>
    <row r="196">
      <c r="B196" s="28"/>
      <c r="C196" s="28"/>
      <c r="E196" s="55"/>
      <c r="F196" s="55"/>
      <c r="K196" s="55"/>
      <c r="L196" s="55"/>
    </row>
    <row r="197">
      <c r="B197" s="28"/>
      <c r="C197" s="28"/>
      <c r="E197" s="55"/>
      <c r="F197" s="55"/>
      <c r="K197" s="55"/>
      <c r="L197" s="55"/>
    </row>
    <row r="198">
      <c r="B198" s="28"/>
      <c r="C198" s="28"/>
      <c r="E198" s="55"/>
      <c r="F198" s="55"/>
      <c r="K198" s="55"/>
      <c r="L198" s="55"/>
    </row>
    <row r="199">
      <c r="B199" s="28"/>
      <c r="C199" s="28"/>
      <c r="E199" s="55"/>
      <c r="F199" s="55"/>
      <c r="K199" s="55"/>
      <c r="L199" s="55"/>
    </row>
    <row r="200">
      <c r="B200" s="28"/>
      <c r="C200" s="28"/>
      <c r="E200" s="55"/>
      <c r="F200" s="55"/>
      <c r="K200" s="55"/>
      <c r="L200" s="55"/>
    </row>
    <row r="201">
      <c r="B201" s="28"/>
      <c r="C201" s="28"/>
      <c r="E201" s="55"/>
      <c r="F201" s="55"/>
      <c r="K201" s="55"/>
      <c r="L201" s="55"/>
    </row>
    <row r="202">
      <c r="B202" s="28"/>
      <c r="C202" s="28"/>
      <c r="E202" s="55"/>
      <c r="F202" s="55"/>
      <c r="K202" s="55"/>
      <c r="L202" s="55"/>
    </row>
    <row r="203">
      <c r="B203" s="28"/>
      <c r="C203" s="28"/>
      <c r="E203" s="55"/>
      <c r="F203" s="55"/>
      <c r="K203" s="55"/>
      <c r="L203" s="55"/>
    </row>
    <row r="204">
      <c r="B204" s="28"/>
      <c r="C204" s="28"/>
      <c r="E204" s="55"/>
      <c r="F204" s="55"/>
      <c r="K204" s="55"/>
      <c r="L204" s="55"/>
    </row>
    <row r="205">
      <c r="B205" s="28"/>
      <c r="C205" s="28"/>
      <c r="E205" s="55"/>
      <c r="F205" s="55"/>
      <c r="K205" s="55"/>
      <c r="L205" s="55"/>
    </row>
    <row r="206">
      <c r="B206" s="28"/>
      <c r="C206" s="28"/>
      <c r="E206" s="55"/>
      <c r="F206" s="55"/>
      <c r="K206" s="55"/>
      <c r="L206" s="55"/>
    </row>
    <row r="207">
      <c r="B207" s="28"/>
      <c r="C207" s="28"/>
      <c r="E207" s="55"/>
      <c r="F207" s="55"/>
      <c r="K207" s="55"/>
      <c r="L207" s="55"/>
    </row>
    <row r="208">
      <c r="B208" s="28"/>
      <c r="C208" s="28"/>
      <c r="E208" s="55"/>
      <c r="F208" s="55"/>
      <c r="K208" s="55"/>
      <c r="L208" s="55"/>
    </row>
    <row r="209">
      <c r="B209" s="28"/>
      <c r="C209" s="28"/>
      <c r="E209" s="55"/>
      <c r="F209" s="55"/>
      <c r="K209" s="55"/>
      <c r="L209" s="55"/>
    </row>
    <row r="210">
      <c r="B210" s="28"/>
      <c r="C210" s="28"/>
      <c r="E210" s="55"/>
      <c r="F210" s="55"/>
      <c r="K210" s="55"/>
      <c r="L210" s="55"/>
    </row>
    <row r="211">
      <c r="B211" s="28"/>
      <c r="C211" s="28"/>
      <c r="E211" s="55"/>
      <c r="F211" s="55"/>
      <c r="K211" s="55"/>
      <c r="L211" s="55"/>
    </row>
    <row r="212">
      <c r="B212" s="28"/>
      <c r="C212" s="28"/>
      <c r="E212" s="55"/>
      <c r="F212" s="55"/>
      <c r="K212" s="55"/>
      <c r="L212" s="55"/>
    </row>
    <row r="213">
      <c r="B213" s="28"/>
      <c r="C213" s="28"/>
      <c r="E213" s="55"/>
      <c r="F213" s="55"/>
      <c r="K213" s="55"/>
      <c r="L213" s="55"/>
    </row>
    <row r="214">
      <c r="B214" s="28"/>
      <c r="C214" s="28"/>
      <c r="E214" s="55"/>
      <c r="F214" s="55"/>
      <c r="K214" s="55"/>
      <c r="L214" s="55"/>
    </row>
    <row r="215">
      <c r="B215" s="28"/>
      <c r="C215" s="28"/>
      <c r="E215" s="55"/>
      <c r="F215" s="55"/>
      <c r="K215" s="55"/>
      <c r="L215" s="55"/>
    </row>
    <row r="216">
      <c r="B216" s="28"/>
      <c r="C216" s="28"/>
      <c r="E216" s="55"/>
      <c r="F216" s="55"/>
      <c r="K216" s="55"/>
      <c r="L216" s="55"/>
    </row>
    <row r="217">
      <c r="B217" s="28"/>
      <c r="C217" s="28"/>
      <c r="E217" s="55"/>
      <c r="F217" s="55"/>
      <c r="K217" s="55"/>
      <c r="L217" s="55"/>
    </row>
    <row r="218">
      <c r="B218" s="28"/>
      <c r="C218" s="28"/>
      <c r="E218" s="55"/>
      <c r="F218" s="55"/>
      <c r="K218" s="55"/>
      <c r="L218" s="55"/>
    </row>
    <row r="219">
      <c r="B219" s="28"/>
      <c r="C219" s="28"/>
      <c r="E219" s="55"/>
      <c r="F219" s="55"/>
      <c r="K219" s="55"/>
      <c r="L219" s="55"/>
    </row>
    <row r="220">
      <c r="B220" s="28"/>
      <c r="C220" s="28"/>
      <c r="E220" s="55"/>
      <c r="F220" s="55"/>
      <c r="K220" s="55"/>
      <c r="L220" s="55"/>
    </row>
    <row r="221">
      <c r="B221" s="28"/>
      <c r="C221" s="28"/>
      <c r="E221" s="55"/>
      <c r="F221" s="55"/>
      <c r="K221" s="55"/>
      <c r="L221" s="55"/>
    </row>
    <row r="222">
      <c r="B222" s="28"/>
      <c r="C222" s="28"/>
      <c r="E222" s="55"/>
      <c r="F222" s="55"/>
      <c r="K222" s="55"/>
      <c r="L222" s="55"/>
    </row>
    <row r="223">
      <c r="B223" s="28"/>
      <c r="C223" s="28"/>
      <c r="E223" s="55"/>
      <c r="F223" s="55"/>
      <c r="K223" s="55"/>
      <c r="L223" s="55"/>
    </row>
    <row r="224">
      <c r="B224" s="28"/>
      <c r="C224" s="28"/>
      <c r="E224" s="55"/>
      <c r="F224" s="55"/>
      <c r="K224" s="55"/>
      <c r="L224" s="55"/>
    </row>
    <row r="225">
      <c r="B225" s="28"/>
      <c r="C225" s="28"/>
      <c r="E225" s="55"/>
      <c r="F225" s="55"/>
      <c r="K225" s="55"/>
      <c r="L225" s="55"/>
    </row>
    <row r="226">
      <c r="B226" s="28"/>
      <c r="C226" s="28"/>
      <c r="E226" s="55"/>
      <c r="F226" s="55"/>
      <c r="K226" s="55"/>
      <c r="L226" s="55"/>
    </row>
    <row r="227">
      <c r="B227" s="28"/>
      <c r="C227" s="28"/>
      <c r="E227" s="55"/>
      <c r="F227" s="55"/>
      <c r="K227" s="55"/>
      <c r="L227" s="55"/>
    </row>
    <row r="228">
      <c r="B228" s="28"/>
      <c r="C228" s="28"/>
      <c r="E228" s="55"/>
      <c r="F228" s="55"/>
      <c r="K228" s="55"/>
      <c r="L228" s="55"/>
    </row>
    <row r="229">
      <c r="B229" s="28"/>
      <c r="C229" s="28"/>
      <c r="E229" s="55"/>
      <c r="F229" s="55"/>
      <c r="K229" s="55"/>
      <c r="L229" s="55"/>
    </row>
    <row r="230">
      <c r="B230" s="28"/>
      <c r="C230" s="28"/>
      <c r="E230" s="55"/>
      <c r="F230" s="55"/>
      <c r="K230" s="55"/>
      <c r="L230" s="55"/>
    </row>
    <row r="231">
      <c r="B231" s="28"/>
      <c r="C231" s="28"/>
      <c r="E231" s="55"/>
      <c r="F231" s="55"/>
      <c r="K231" s="55"/>
      <c r="L231" s="55"/>
    </row>
    <row r="232">
      <c r="B232" s="28"/>
      <c r="C232" s="28"/>
      <c r="E232" s="55"/>
      <c r="F232" s="55"/>
      <c r="K232" s="55"/>
      <c r="L232" s="55"/>
    </row>
    <row r="233">
      <c r="B233" s="28"/>
      <c r="C233" s="28"/>
      <c r="E233" s="55"/>
      <c r="F233" s="55"/>
      <c r="K233" s="55"/>
      <c r="L233" s="55"/>
    </row>
    <row r="234">
      <c r="B234" s="28"/>
      <c r="C234" s="28"/>
      <c r="E234" s="55"/>
      <c r="F234" s="55"/>
      <c r="K234" s="55"/>
      <c r="L234" s="55"/>
    </row>
    <row r="235">
      <c r="B235" s="28"/>
      <c r="C235" s="28"/>
      <c r="E235" s="55"/>
      <c r="F235" s="55"/>
      <c r="K235" s="55"/>
      <c r="L235" s="55"/>
    </row>
    <row r="236">
      <c r="B236" s="28"/>
      <c r="C236" s="28"/>
      <c r="E236" s="55"/>
      <c r="F236" s="55"/>
      <c r="K236" s="55"/>
      <c r="L236" s="55"/>
    </row>
    <row r="237">
      <c r="B237" s="28"/>
      <c r="C237" s="28"/>
      <c r="E237" s="55"/>
      <c r="F237" s="55"/>
      <c r="K237" s="55"/>
      <c r="L237" s="55"/>
    </row>
    <row r="238">
      <c r="B238" s="28"/>
      <c r="C238" s="28"/>
      <c r="E238" s="55"/>
      <c r="F238" s="55"/>
      <c r="K238" s="55"/>
      <c r="L238" s="55"/>
    </row>
    <row r="239">
      <c r="B239" s="28"/>
      <c r="C239" s="28"/>
      <c r="E239" s="55"/>
      <c r="F239" s="55"/>
      <c r="K239" s="55"/>
      <c r="L239" s="55"/>
    </row>
    <row r="240">
      <c r="B240" s="28"/>
      <c r="C240" s="28"/>
      <c r="E240" s="55"/>
      <c r="F240" s="55"/>
      <c r="K240" s="55"/>
      <c r="L240" s="55"/>
    </row>
    <row r="241">
      <c r="B241" s="28"/>
      <c r="C241" s="28"/>
      <c r="E241" s="55"/>
      <c r="F241" s="55"/>
      <c r="K241" s="55"/>
      <c r="L241" s="55"/>
    </row>
    <row r="242">
      <c r="B242" s="28"/>
      <c r="C242" s="28"/>
      <c r="E242" s="55"/>
      <c r="F242" s="55"/>
      <c r="K242" s="55"/>
      <c r="L242" s="55"/>
    </row>
    <row r="243">
      <c r="B243" s="28"/>
      <c r="C243" s="28"/>
      <c r="E243" s="55"/>
      <c r="F243" s="55"/>
      <c r="K243" s="55"/>
      <c r="L243" s="55"/>
    </row>
    <row r="244">
      <c r="B244" s="28"/>
      <c r="C244" s="28"/>
      <c r="E244" s="55"/>
      <c r="F244" s="55"/>
      <c r="K244" s="55"/>
      <c r="L244" s="55"/>
    </row>
    <row r="245">
      <c r="B245" s="28"/>
      <c r="C245" s="28"/>
      <c r="E245" s="55"/>
      <c r="F245" s="55"/>
      <c r="K245" s="55"/>
      <c r="L245" s="55"/>
    </row>
    <row r="246">
      <c r="B246" s="28"/>
      <c r="C246" s="28"/>
      <c r="E246" s="55"/>
      <c r="F246" s="55"/>
      <c r="K246" s="55"/>
      <c r="L246" s="55"/>
    </row>
    <row r="247">
      <c r="B247" s="28"/>
      <c r="C247" s="28"/>
      <c r="E247" s="55"/>
      <c r="F247" s="55"/>
      <c r="K247" s="55"/>
      <c r="L247" s="55"/>
    </row>
    <row r="248">
      <c r="B248" s="28"/>
      <c r="C248" s="28"/>
      <c r="E248" s="55"/>
      <c r="F248" s="55"/>
      <c r="K248" s="55"/>
      <c r="L248" s="55"/>
    </row>
    <row r="249">
      <c r="B249" s="28"/>
      <c r="C249" s="28"/>
      <c r="E249" s="55"/>
      <c r="F249" s="55"/>
      <c r="K249" s="55"/>
      <c r="L249" s="55"/>
    </row>
    <row r="250">
      <c r="B250" s="28"/>
      <c r="C250" s="28"/>
      <c r="E250" s="55"/>
      <c r="F250" s="55"/>
      <c r="K250" s="55"/>
      <c r="L250" s="55"/>
    </row>
    <row r="251">
      <c r="B251" s="28"/>
      <c r="C251" s="28"/>
      <c r="E251" s="55"/>
      <c r="F251" s="55"/>
      <c r="K251" s="55"/>
      <c r="L251" s="55"/>
    </row>
    <row r="252">
      <c r="B252" s="28"/>
      <c r="C252" s="28"/>
      <c r="E252" s="55"/>
      <c r="F252" s="55"/>
      <c r="K252" s="55"/>
      <c r="L252" s="55"/>
    </row>
    <row r="253">
      <c r="B253" s="28"/>
      <c r="C253" s="28"/>
      <c r="E253" s="55"/>
      <c r="F253" s="55"/>
      <c r="K253" s="55"/>
      <c r="L253" s="55"/>
    </row>
    <row r="254">
      <c r="B254" s="28"/>
      <c r="C254" s="28"/>
      <c r="E254" s="55"/>
      <c r="F254" s="55"/>
      <c r="K254" s="55"/>
      <c r="L254" s="55"/>
    </row>
    <row r="255">
      <c r="B255" s="28"/>
      <c r="C255" s="28"/>
      <c r="E255" s="55"/>
      <c r="F255" s="55"/>
      <c r="K255" s="55"/>
      <c r="L255" s="55"/>
    </row>
    <row r="256">
      <c r="B256" s="28"/>
      <c r="C256" s="28"/>
      <c r="E256" s="55"/>
      <c r="F256" s="55"/>
      <c r="K256" s="55"/>
      <c r="L256" s="55"/>
    </row>
    <row r="257">
      <c r="B257" s="28"/>
      <c r="C257" s="28"/>
      <c r="E257" s="55"/>
      <c r="F257" s="55"/>
      <c r="K257" s="55"/>
      <c r="L257" s="55"/>
    </row>
    <row r="258">
      <c r="B258" s="28"/>
      <c r="C258" s="28"/>
      <c r="E258" s="55"/>
      <c r="F258" s="55"/>
      <c r="K258" s="55"/>
      <c r="L258" s="55"/>
    </row>
    <row r="259">
      <c r="B259" s="28"/>
      <c r="C259" s="28"/>
      <c r="E259" s="55"/>
      <c r="F259" s="55"/>
      <c r="K259" s="55"/>
      <c r="L259" s="55"/>
    </row>
    <row r="260">
      <c r="B260" s="28"/>
      <c r="C260" s="28"/>
      <c r="E260" s="55"/>
      <c r="F260" s="55"/>
      <c r="K260" s="55"/>
      <c r="L260" s="55"/>
    </row>
    <row r="261">
      <c r="B261" s="28"/>
      <c r="C261" s="28"/>
      <c r="E261" s="55"/>
      <c r="F261" s="55"/>
      <c r="K261" s="55"/>
      <c r="L261" s="55"/>
    </row>
    <row r="262">
      <c r="B262" s="28"/>
      <c r="C262" s="28"/>
      <c r="E262" s="55"/>
      <c r="F262" s="55"/>
      <c r="K262" s="55"/>
      <c r="L262" s="55"/>
    </row>
    <row r="263">
      <c r="B263" s="28"/>
      <c r="C263" s="28"/>
      <c r="E263" s="55"/>
      <c r="F263" s="55"/>
      <c r="K263" s="55"/>
      <c r="L263" s="55"/>
    </row>
    <row r="264">
      <c r="B264" s="28"/>
      <c r="C264" s="28"/>
      <c r="E264" s="55"/>
      <c r="F264" s="55"/>
      <c r="K264" s="55"/>
      <c r="L264" s="55"/>
    </row>
    <row r="265">
      <c r="B265" s="28"/>
      <c r="C265" s="28"/>
      <c r="E265" s="55"/>
      <c r="F265" s="55"/>
      <c r="K265" s="55"/>
      <c r="L265" s="55"/>
    </row>
    <row r="266">
      <c r="B266" s="28"/>
      <c r="C266" s="28"/>
      <c r="E266" s="55"/>
      <c r="F266" s="55"/>
      <c r="K266" s="55"/>
      <c r="L266" s="55"/>
    </row>
    <row r="267">
      <c r="B267" s="28"/>
      <c r="C267" s="28"/>
      <c r="E267" s="55"/>
      <c r="F267" s="55"/>
      <c r="K267" s="55"/>
      <c r="L267" s="55"/>
    </row>
    <row r="268">
      <c r="B268" s="28"/>
      <c r="C268" s="28"/>
      <c r="E268" s="55"/>
      <c r="F268" s="55"/>
      <c r="K268" s="55"/>
      <c r="L268" s="55"/>
    </row>
    <row r="269">
      <c r="B269" s="28"/>
      <c r="C269" s="28"/>
      <c r="E269" s="55"/>
      <c r="F269" s="55"/>
      <c r="K269" s="55"/>
      <c r="L269" s="55"/>
    </row>
    <row r="270">
      <c r="B270" s="28"/>
      <c r="C270" s="28"/>
      <c r="E270" s="55"/>
      <c r="F270" s="55"/>
      <c r="K270" s="55"/>
      <c r="L270" s="55"/>
    </row>
    <row r="271">
      <c r="B271" s="28"/>
      <c r="C271" s="28"/>
      <c r="E271" s="55"/>
      <c r="F271" s="55"/>
      <c r="K271" s="55"/>
      <c r="L271" s="55"/>
    </row>
    <row r="272">
      <c r="B272" s="28"/>
      <c r="C272" s="28"/>
      <c r="E272" s="55"/>
      <c r="F272" s="55"/>
      <c r="K272" s="55"/>
      <c r="L272" s="55"/>
    </row>
    <row r="273">
      <c r="B273" s="28"/>
      <c r="C273" s="28"/>
      <c r="E273" s="55"/>
      <c r="F273" s="55"/>
      <c r="K273" s="55"/>
      <c r="L273" s="55"/>
    </row>
    <row r="274">
      <c r="B274" s="28"/>
      <c r="C274" s="28"/>
      <c r="E274" s="55"/>
      <c r="F274" s="55"/>
      <c r="K274" s="55"/>
      <c r="L274" s="55"/>
    </row>
    <row r="275">
      <c r="B275" s="28"/>
      <c r="C275" s="28"/>
      <c r="E275" s="55"/>
      <c r="F275" s="55"/>
      <c r="K275" s="55"/>
      <c r="L275" s="55"/>
    </row>
    <row r="276">
      <c r="B276" s="28"/>
      <c r="C276" s="28"/>
      <c r="E276" s="55"/>
      <c r="F276" s="55"/>
      <c r="K276" s="55"/>
      <c r="L276" s="55"/>
    </row>
    <row r="277">
      <c r="B277" s="28"/>
      <c r="C277" s="28"/>
      <c r="E277" s="55"/>
      <c r="F277" s="55"/>
      <c r="K277" s="55"/>
      <c r="L277" s="55"/>
    </row>
    <row r="278">
      <c r="B278" s="28"/>
      <c r="C278" s="28"/>
      <c r="E278" s="55"/>
      <c r="F278" s="55"/>
      <c r="K278" s="55"/>
      <c r="L278" s="55"/>
    </row>
    <row r="279">
      <c r="B279" s="28"/>
      <c r="C279" s="28"/>
      <c r="E279" s="55"/>
      <c r="F279" s="55"/>
      <c r="K279" s="55"/>
      <c r="L279" s="55"/>
    </row>
    <row r="280">
      <c r="B280" s="28"/>
      <c r="C280" s="28"/>
      <c r="E280" s="55"/>
      <c r="F280" s="55"/>
      <c r="K280" s="55"/>
      <c r="L280" s="55"/>
    </row>
    <row r="281">
      <c r="B281" s="28"/>
      <c r="C281" s="28"/>
      <c r="E281" s="55"/>
      <c r="F281" s="55"/>
      <c r="K281" s="55"/>
      <c r="L281" s="55"/>
    </row>
    <row r="282">
      <c r="B282" s="28"/>
      <c r="C282" s="28"/>
      <c r="E282" s="55"/>
      <c r="F282" s="55"/>
      <c r="K282" s="55"/>
      <c r="L282" s="55"/>
    </row>
    <row r="283">
      <c r="B283" s="28"/>
      <c r="C283" s="28"/>
      <c r="E283" s="55"/>
      <c r="F283" s="55"/>
      <c r="K283" s="55"/>
      <c r="L283" s="55"/>
    </row>
    <row r="284">
      <c r="B284" s="28"/>
      <c r="C284" s="28"/>
      <c r="E284" s="55"/>
      <c r="F284" s="55"/>
      <c r="K284" s="55"/>
      <c r="L284" s="55"/>
    </row>
    <row r="285">
      <c r="B285" s="28"/>
      <c r="C285" s="28"/>
      <c r="E285" s="55"/>
      <c r="F285" s="55"/>
      <c r="K285" s="55"/>
      <c r="L285" s="55"/>
    </row>
    <row r="286">
      <c r="B286" s="28"/>
      <c r="C286" s="28"/>
      <c r="E286" s="55"/>
      <c r="F286" s="55"/>
      <c r="K286" s="55"/>
      <c r="L286" s="55"/>
    </row>
    <row r="287">
      <c r="B287" s="28"/>
      <c r="C287" s="28"/>
      <c r="E287" s="55"/>
      <c r="F287" s="55"/>
      <c r="K287" s="55"/>
      <c r="L287" s="55"/>
    </row>
    <row r="288">
      <c r="B288" s="28"/>
      <c r="C288" s="28"/>
      <c r="E288" s="55"/>
      <c r="F288" s="55"/>
      <c r="K288" s="55"/>
      <c r="L288" s="55"/>
    </row>
    <row r="289">
      <c r="B289" s="28"/>
      <c r="C289" s="28"/>
      <c r="E289" s="55"/>
      <c r="F289" s="55"/>
      <c r="K289" s="55"/>
      <c r="L289" s="55"/>
    </row>
    <row r="290">
      <c r="B290" s="28"/>
      <c r="C290" s="28"/>
      <c r="E290" s="55"/>
      <c r="F290" s="55"/>
      <c r="K290" s="55"/>
      <c r="L290" s="55"/>
    </row>
    <row r="291">
      <c r="B291" s="28"/>
      <c r="C291" s="28"/>
      <c r="E291" s="55"/>
      <c r="F291" s="55"/>
      <c r="K291" s="55"/>
      <c r="L291" s="55"/>
    </row>
    <row r="292">
      <c r="B292" s="28"/>
      <c r="C292" s="28"/>
      <c r="E292" s="55"/>
      <c r="F292" s="55"/>
      <c r="K292" s="55"/>
      <c r="L292" s="55"/>
    </row>
    <row r="293">
      <c r="B293" s="28"/>
      <c r="C293" s="28"/>
      <c r="E293" s="55"/>
      <c r="F293" s="55"/>
      <c r="K293" s="55"/>
      <c r="L293" s="55"/>
    </row>
    <row r="294">
      <c r="B294" s="28"/>
      <c r="C294" s="28"/>
      <c r="E294" s="55"/>
      <c r="F294" s="55"/>
      <c r="K294" s="55"/>
      <c r="L294" s="55"/>
    </row>
    <row r="295">
      <c r="B295" s="28"/>
      <c r="C295" s="28"/>
      <c r="E295" s="55"/>
      <c r="F295" s="55"/>
      <c r="K295" s="55"/>
      <c r="L295" s="55"/>
    </row>
    <row r="296">
      <c r="B296" s="28"/>
      <c r="C296" s="28"/>
      <c r="E296" s="55"/>
      <c r="F296" s="55"/>
      <c r="K296" s="55"/>
      <c r="L296" s="55"/>
    </row>
    <row r="297">
      <c r="B297" s="28"/>
      <c r="C297" s="28"/>
      <c r="E297" s="55"/>
      <c r="F297" s="55"/>
      <c r="K297" s="55"/>
      <c r="L297" s="55"/>
    </row>
    <row r="298">
      <c r="B298" s="28"/>
      <c r="C298" s="28"/>
      <c r="E298" s="55"/>
      <c r="F298" s="55"/>
      <c r="K298" s="55"/>
      <c r="L298" s="55"/>
    </row>
    <row r="299">
      <c r="B299" s="28"/>
      <c r="C299" s="28"/>
      <c r="E299" s="55"/>
      <c r="F299" s="55"/>
      <c r="K299" s="55"/>
      <c r="L299" s="55"/>
    </row>
    <row r="300">
      <c r="B300" s="28"/>
      <c r="C300" s="28"/>
      <c r="E300" s="55"/>
      <c r="F300" s="55"/>
      <c r="K300" s="55"/>
      <c r="L300" s="55"/>
    </row>
    <row r="301">
      <c r="B301" s="28"/>
      <c r="C301" s="28"/>
      <c r="E301" s="55"/>
      <c r="F301" s="55"/>
      <c r="K301" s="55"/>
      <c r="L301" s="55"/>
    </row>
    <row r="302">
      <c r="B302" s="28"/>
      <c r="C302" s="28"/>
      <c r="E302" s="55"/>
      <c r="F302" s="55"/>
      <c r="K302" s="55"/>
      <c r="L302" s="55"/>
    </row>
    <row r="303">
      <c r="B303" s="28"/>
      <c r="C303" s="28"/>
      <c r="E303" s="55"/>
      <c r="F303" s="55"/>
      <c r="K303" s="55"/>
      <c r="L303" s="55"/>
    </row>
    <row r="304">
      <c r="B304" s="28"/>
      <c r="C304" s="28"/>
      <c r="E304" s="55"/>
      <c r="F304" s="55"/>
      <c r="K304" s="55"/>
      <c r="L304" s="55"/>
    </row>
    <row r="305">
      <c r="B305" s="28"/>
      <c r="C305" s="28"/>
      <c r="E305" s="55"/>
      <c r="F305" s="55"/>
      <c r="K305" s="55"/>
      <c r="L305" s="55"/>
    </row>
    <row r="306">
      <c r="B306" s="28"/>
      <c r="C306" s="28"/>
      <c r="E306" s="55"/>
      <c r="F306" s="55"/>
      <c r="K306" s="55"/>
      <c r="L306" s="55"/>
    </row>
    <row r="307">
      <c r="B307" s="28"/>
      <c r="C307" s="28"/>
      <c r="E307" s="55"/>
      <c r="F307" s="55"/>
      <c r="K307" s="55"/>
      <c r="L307" s="55"/>
    </row>
    <row r="308">
      <c r="B308" s="28"/>
      <c r="C308" s="28"/>
      <c r="E308" s="55"/>
      <c r="F308" s="55"/>
      <c r="K308" s="55"/>
      <c r="L308" s="55"/>
    </row>
    <row r="309">
      <c r="B309" s="28"/>
      <c r="C309" s="28"/>
      <c r="E309" s="55"/>
      <c r="F309" s="55"/>
      <c r="K309" s="55"/>
      <c r="L309" s="55"/>
    </row>
    <row r="310">
      <c r="B310" s="28"/>
      <c r="C310" s="28"/>
      <c r="E310" s="55"/>
      <c r="F310" s="55"/>
      <c r="K310" s="55"/>
      <c r="L310" s="55"/>
    </row>
    <row r="311">
      <c r="B311" s="28"/>
      <c r="C311" s="28"/>
      <c r="E311" s="55"/>
      <c r="F311" s="55"/>
      <c r="K311" s="55"/>
      <c r="L311" s="55"/>
    </row>
    <row r="312">
      <c r="B312" s="28"/>
      <c r="C312" s="28"/>
      <c r="E312" s="55"/>
      <c r="F312" s="55"/>
      <c r="K312" s="55"/>
      <c r="L312" s="55"/>
    </row>
    <row r="313">
      <c r="B313" s="28"/>
      <c r="C313" s="28"/>
      <c r="E313" s="55"/>
      <c r="F313" s="55"/>
      <c r="K313" s="55"/>
      <c r="L313" s="55"/>
    </row>
    <row r="314">
      <c r="B314" s="28"/>
      <c r="C314" s="28"/>
      <c r="E314" s="55"/>
      <c r="F314" s="55"/>
      <c r="K314" s="55"/>
      <c r="L314" s="55"/>
    </row>
    <row r="315">
      <c r="B315" s="28"/>
      <c r="C315" s="28"/>
      <c r="E315" s="55"/>
      <c r="F315" s="55"/>
      <c r="K315" s="55"/>
      <c r="L315" s="55"/>
    </row>
    <row r="316">
      <c r="B316" s="28"/>
      <c r="C316" s="28"/>
      <c r="E316" s="55"/>
      <c r="F316" s="55"/>
      <c r="K316" s="55"/>
      <c r="L316" s="55"/>
    </row>
    <row r="317">
      <c r="B317" s="28"/>
      <c r="C317" s="28"/>
      <c r="E317" s="55"/>
      <c r="F317" s="55"/>
      <c r="K317" s="55"/>
      <c r="L317" s="55"/>
    </row>
    <row r="318">
      <c r="B318" s="28"/>
      <c r="C318" s="28"/>
      <c r="E318" s="55"/>
      <c r="F318" s="55"/>
      <c r="K318" s="55"/>
      <c r="L318" s="55"/>
    </row>
    <row r="319">
      <c r="B319" s="28"/>
      <c r="C319" s="28"/>
      <c r="E319" s="55"/>
      <c r="F319" s="55"/>
      <c r="K319" s="55"/>
      <c r="L319" s="55"/>
    </row>
    <row r="320">
      <c r="B320" s="28"/>
      <c r="C320" s="28"/>
      <c r="E320" s="55"/>
      <c r="F320" s="55"/>
      <c r="K320" s="55"/>
      <c r="L320" s="55"/>
    </row>
    <row r="321">
      <c r="B321" s="28"/>
      <c r="C321" s="28"/>
      <c r="E321" s="55"/>
      <c r="F321" s="55"/>
      <c r="K321" s="55"/>
      <c r="L321" s="55"/>
    </row>
    <row r="322">
      <c r="B322" s="28"/>
      <c r="C322" s="28"/>
      <c r="E322" s="55"/>
      <c r="F322" s="55"/>
      <c r="K322" s="55"/>
      <c r="L322" s="55"/>
    </row>
    <row r="323">
      <c r="B323" s="28"/>
      <c r="C323" s="28"/>
      <c r="E323" s="55"/>
      <c r="F323" s="55"/>
      <c r="K323" s="55"/>
      <c r="L323" s="55"/>
    </row>
    <row r="324">
      <c r="B324" s="28"/>
      <c r="C324" s="28"/>
      <c r="E324" s="55"/>
      <c r="F324" s="55"/>
      <c r="K324" s="55"/>
      <c r="L324" s="55"/>
    </row>
    <row r="325">
      <c r="B325" s="28"/>
      <c r="C325" s="28"/>
      <c r="E325" s="55"/>
      <c r="F325" s="55"/>
      <c r="K325" s="55"/>
      <c r="L325" s="55"/>
    </row>
    <row r="326">
      <c r="B326" s="28"/>
      <c r="C326" s="28"/>
      <c r="E326" s="55"/>
      <c r="F326" s="55"/>
      <c r="K326" s="55"/>
      <c r="L326" s="55"/>
    </row>
    <row r="327">
      <c r="B327" s="28"/>
      <c r="C327" s="28"/>
      <c r="E327" s="55"/>
      <c r="F327" s="55"/>
      <c r="K327" s="55"/>
      <c r="L327" s="55"/>
    </row>
    <row r="328">
      <c r="B328" s="28"/>
      <c r="C328" s="28"/>
      <c r="E328" s="55"/>
      <c r="F328" s="55"/>
      <c r="K328" s="55"/>
      <c r="L328" s="55"/>
    </row>
    <row r="329">
      <c r="B329" s="28"/>
      <c r="C329" s="28"/>
      <c r="E329" s="55"/>
      <c r="F329" s="55"/>
      <c r="K329" s="55"/>
      <c r="L329" s="55"/>
    </row>
    <row r="330">
      <c r="B330" s="28"/>
      <c r="C330" s="28"/>
      <c r="E330" s="55"/>
      <c r="F330" s="55"/>
      <c r="K330" s="55"/>
      <c r="L330" s="55"/>
    </row>
    <row r="331">
      <c r="B331" s="28"/>
      <c r="C331" s="28"/>
      <c r="E331" s="55"/>
      <c r="F331" s="55"/>
      <c r="K331" s="55"/>
      <c r="L331" s="55"/>
    </row>
    <row r="332">
      <c r="B332" s="28"/>
      <c r="C332" s="28"/>
      <c r="E332" s="55"/>
      <c r="F332" s="55"/>
      <c r="K332" s="55"/>
      <c r="L332" s="55"/>
    </row>
    <row r="333">
      <c r="B333" s="28"/>
      <c r="C333" s="28"/>
      <c r="E333" s="55"/>
      <c r="F333" s="55"/>
      <c r="K333" s="55"/>
      <c r="L333" s="55"/>
    </row>
    <row r="334">
      <c r="B334" s="28"/>
      <c r="C334" s="28"/>
      <c r="E334" s="55"/>
      <c r="F334" s="55"/>
      <c r="K334" s="55"/>
      <c r="L334" s="55"/>
    </row>
    <row r="335">
      <c r="B335" s="28"/>
      <c r="C335" s="28"/>
      <c r="E335" s="55"/>
      <c r="F335" s="55"/>
      <c r="K335" s="55"/>
      <c r="L335" s="55"/>
    </row>
    <row r="336">
      <c r="B336" s="28"/>
      <c r="C336" s="28"/>
      <c r="E336" s="55"/>
      <c r="F336" s="55"/>
      <c r="K336" s="55"/>
      <c r="L336" s="55"/>
    </row>
    <row r="337">
      <c r="B337" s="28"/>
      <c r="C337" s="28"/>
      <c r="E337" s="55"/>
      <c r="F337" s="55"/>
      <c r="K337" s="55"/>
      <c r="L337" s="55"/>
    </row>
    <row r="338">
      <c r="B338" s="28"/>
      <c r="C338" s="28"/>
      <c r="E338" s="55"/>
      <c r="F338" s="55"/>
      <c r="K338" s="55"/>
      <c r="L338" s="55"/>
    </row>
    <row r="339">
      <c r="B339" s="28"/>
      <c r="C339" s="28"/>
      <c r="E339" s="55"/>
      <c r="F339" s="55"/>
      <c r="K339" s="55"/>
      <c r="L339" s="55"/>
    </row>
    <row r="340">
      <c r="B340" s="28"/>
      <c r="C340" s="28"/>
      <c r="E340" s="55"/>
      <c r="F340" s="55"/>
      <c r="K340" s="55"/>
      <c r="L340" s="55"/>
    </row>
    <row r="341">
      <c r="B341" s="28"/>
      <c r="C341" s="28"/>
      <c r="E341" s="55"/>
      <c r="F341" s="55"/>
      <c r="K341" s="55"/>
      <c r="L341" s="55"/>
    </row>
    <row r="342">
      <c r="B342" s="28"/>
      <c r="C342" s="28"/>
      <c r="E342" s="55"/>
      <c r="F342" s="55"/>
      <c r="K342" s="55"/>
      <c r="L342" s="55"/>
    </row>
    <row r="343">
      <c r="B343" s="28"/>
      <c r="C343" s="28"/>
      <c r="E343" s="55"/>
      <c r="F343" s="55"/>
      <c r="K343" s="55"/>
      <c r="L343" s="55"/>
    </row>
    <row r="344">
      <c r="B344" s="28"/>
      <c r="C344" s="28"/>
      <c r="E344" s="55"/>
      <c r="F344" s="55"/>
      <c r="K344" s="55"/>
      <c r="L344" s="55"/>
    </row>
    <row r="345">
      <c r="B345" s="28"/>
      <c r="C345" s="28"/>
      <c r="E345" s="55"/>
      <c r="F345" s="55"/>
      <c r="K345" s="55"/>
      <c r="L345" s="55"/>
    </row>
    <row r="346">
      <c r="B346" s="28"/>
      <c r="C346" s="28"/>
      <c r="E346" s="55"/>
      <c r="F346" s="55"/>
      <c r="K346" s="55"/>
      <c r="L346" s="55"/>
    </row>
    <row r="347">
      <c r="B347" s="28"/>
      <c r="C347" s="28"/>
      <c r="E347" s="55"/>
      <c r="F347" s="55"/>
      <c r="K347" s="55"/>
      <c r="L347" s="55"/>
    </row>
    <row r="348">
      <c r="B348" s="28"/>
      <c r="C348" s="28"/>
      <c r="E348" s="55"/>
      <c r="F348" s="55"/>
      <c r="K348" s="55"/>
      <c r="L348" s="55"/>
    </row>
    <row r="349">
      <c r="B349" s="28"/>
      <c r="C349" s="28"/>
      <c r="E349" s="55"/>
      <c r="F349" s="55"/>
      <c r="K349" s="55"/>
      <c r="L349" s="55"/>
    </row>
    <row r="350">
      <c r="B350" s="28"/>
      <c r="C350" s="28"/>
      <c r="E350" s="55"/>
      <c r="F350" s="55"/>
      <c r="K350" s="55"/>
      <c r="L350" s="55"/>
    </row>
    <row r="351">
      <c r="B351" s="28"/>
      <c r="C351" s="28"/>
      <c r="E351" s="55"/>
      <c r="F351" s="55"/>
      <c r="K351" s="55"/>
      <c r="L351" s="55"/>
    </row>
    <row r="352">
      <c r="B352" s="28"/>
      <c r="C352" s="28"/>
      <c r="E352" s="55"/>
      <c r="F352" s="55"/>
      <c r="K352" s="55"/>
      <c r="L352" s="55"/>
    </row>
    <row r="353">
      <c r="B353" s="28"/>
      <c r="C353" s="28"/>
      <c r="E353" s="55"/>
      <c r="F353" s="55"/>
      <c r="K353" s="55"/>
      <c r="L353" s="55"/>
    </row>
    <row r="354">
      <c r="B354" s="28"/>
      <c r="C354" s="28"/>
      <c r="E354" s="55"/>
      <c r="F354" s="55"/>
      <c r="K354" s="55"/>
      <c r="L354" s="55"/>
    </row>
    <row r="355">
      <c r="B355" s="28"/>
      <c r="C355" s="28"/>
      <c r="E355" s="55"/>
      <c r="F355" s="55"/>
      <c r="K355" s="55"/>
      <c r="L355" s="55"/>
    </row>
    <row r="356">
      <c r="B356" s="28"/>
      <c r="C356" s="28"/>
      <c r="E356" s="55"/>
      <c r="F356" s="55"/>
      <c r="K356" s="55"/>
      <c r="L356" s="55"/>
    </row>
    <row r="357">
      <c r="B357" s="28"/>
      <c r="C357" s="28"/>
      <c r="E357" s="55"/>
      <c r="F357" s="55"/>
      <c r="K357" s="55"/>
      <c r="L357" s="55"/>
    </row>
    <row r="358">
      <c r="B358" s="28"/>
      <c r="C358" s="28"/>
      <c r="E358" s="55"/>
      <c r="F358" s="55"/>
      <c r="K358" s="55"/>
      <c r="L358" s="55"/>
    </row>
    <row r="359">
      <c r="B359" s="28"/>
      <c r="C359" s="28"/>
      <c r="E359" s="55"/>
      <c r="F359" s="55"/>
      <c r="K359" s="55"/>
      <c r="L359" s="55"/>
    </row>
    <row r="360">
      <c r="B360" s="28"/>
      <c r="C360" s="28"/>
      <c r="E360" s="55"/>
      <c r="F360" s="55"/>
      <c r="K360" s="55"/>
      <c r="L360" s="55"/>
    </row>
    <row r="361">
      <c r="B361" s="28"/>
      <c r="C361" s="28"/>
      <c r="E361" s="55"/>
      <c r="F361" s="55"/>
      <c r="K361" s="55"/>
      <c r="L361" s="55"/>
    </row>
    <row r="362">
      <c r="B362" s="28"/>
      <c r="C362" s="28"/>
      <c r="E362" s="55"/>
      <c r="F362" s="55"/>
      <c r="K362" s="55"/>
      <c r="L362" s="55"/>
    </row>
    <row r="363">
      <c r="B363" s="28"/>
      <c r="C363" s="28"/>
      <c r="E363" s="55"/>
      <c r="F363" s="55"/>
      <c r="K363" s="55"/>
      <c r="L363" s="55"/>
    </row>
    <row r="364">
      <c r="B364" s="28"/>
      <c r="C364" s="28"/>
      <c r="E364" s="55"/>
      <c r="F364" s="55"/>
      <c r="K364" s="55"/>
      <c r="L364" s="55"/>
    </row>
    <row r="365">
      <c r="B365" s="28"/>
      <c r="C365" s="28"/>
      <c r="E365" s="55"/>
      <c r="F365" s="55"/>
      <c r="K365" s="55"/>
      <c r="L365" s="55"/>
    </row>
    <row r="366">
      <c r="B366" s="28"/>
      <c r="C366" s="28"/>
      <c r="E366" s="55"/>
      <c r="F366" s="55"/>
      <c r="K366" s="55"/>
      <c r="L366" s="55"/>
    </row>
    <row r="367">
      <c r="B367" s="28"/>
      <c r="C367" s="28"/>
      <c r="E367" s="55"/>
      <c r="F367" s="55"/>
      <c r="K367" s="55"/>
      <c r="L367" s="55"/>
    </row>
    <row r="368">
      <c r="B368" s="28"/>
      <c r="C368" s="28"/>
      <c r="E368" s="55"/>
      <c r="F368" s="55"/>
      <c r="K368" s="55"/>
      <c r="L368" s="55"/>
    </row>
    <row r="369">
      <c r="B369" s="28"/>
      <c r="C369" s="28"/>
      <c r="E369" s="55"/>
      <c r="F369" s="55"/>
      <c r="K369" s="55"/>
      <c r="L369" s="55"/>
    </row>
    <row r="370">
      <c r="B370" s="28"/>
      <c r="C370" s="28"/>
      <c r="E370" s="55"/>
      <c r="F370" s="55"/>
      <c r="K370" s="55"/>
      <c r="L370" s="55"/>
    </row>
    <row r="371">
      <c r="B371" s="28"/>
      <c r="C371" s="28"/>
      <c r="E371" s="55"/>
      <c r="F371" s="55"/>
      <c r="K371" s="55"/>
      <c r="L371" s="55"/>
    </row>
    <row r="372">
      <c r="B372" s="28"/>
      <c r="C372" s="28"/>
      <c r="E372" s="55"/>
      <c r="F372" s="55"/>
      <c r="K372" s="55"/>
      <c r="L372" s="55"/>
    </row>
    <row r="373">
      <c r="B373" s="28"/>
      <c r="C373" s="28"/>
      <c r="E373" s="55"/>
      <c r="F373" s="55"/>
      <c r="K373" s="55"/>
      <c r="L373" s="55"/>
    </row>
    <row r="374">
      <c r="B374" s="28"/>
      <c r="C374" s="28"/>
      <c r="E374" s="55"/>
      <c r="F374" s="55"/>
      <c r="K374" s="55"/>
      <c r="L374" s="55"/>
    </row>
    <row r="375">
      <c r="B375" s="28"/>
      <c r="C375" s="28"/>
      <c r="E375" s="55"/>
      <c r="F375" s="55"/>
      <c r="K375" s="55"/>
      <c r="L375" s="55"/>
    </row>
    <row r="376">
      <c r="B376" s="28"/>
      <c r="C376" s="28"/>
      <c r="E376" s="55"/>
      <c r="F376" s="55"/>
      <c r="K376" s="55"/>
      <c r="L376" s="55"/>
    </row>
    <row r="377">
      <c r="B377" s="28"/>
      <c r="C377" s="28"/>
      <c r="E377" s="55"/>
      <c r="F377" s="55"/>
      <c r="K377" s="55"/>
      <c r="L377" s="55"/>
    </row>
    <row r="378">
      <c r="B378" s="28"/>
      <c r="C378" s="28"/>
      <c r="E378" s="55"/>
      <c r="F378" s="55"/>
      <c r="K378" s="55"/>
      <c r="L378" s="55"/>
    </row>
    <row r="379">
      <c r="B379" s="28"/>
      <c r="C379" s="28"/>
      <c r="E379" s="55"/>
      <c r="F379" s="55"/>
      <c r="K379" s="55"/>
      <c r="L379" s="55"/>
    </row>
    <row r="380">
      <c r="B380" s="28"/>
      <c r="C380" s="28"/>
      <c r="E380" s="55"/>
      <c r="F380" s="55"/>
      <c r="K380" s="55"/>
      <c r="L380" s="55"/>
    </row>
    <row r="381">
      <c r="B381" s="28"/>
      <c r="C381" s="28"/>
      <c r="E381" s="55"/>
      <c r="F381" s="55"/>
      <c r="K381" s="55"/>
      <c r="L381" s="55"/>
    </row>
    <row r="382">
      <c r="B382" s="28"/>
      <c r="C382" s="28"/>
      <c r="E382" s="55"/>
      <c r="F382" s="55"/>
      <c r="K382" s="55"/>
      <c r="L382" s="55"/>
    </row>
    <row r="383">
      <c r="B383" s="28"/>
      <c r="C383" s="28"/>
      <c r="E383" s="55"/>
      <c r="F383" s="55"/>
      <c r="K383" s="55"/>
      <c r="L383" s="55"/>
    </row>
    <row r="384">
      <c r="B384" s="28"/>
      <c r="C384" s="28"/>
      <c r="E384" s="55"/>
      <c r="F384" s="55"/>
      <c r="K384" s="55"/>
      <c r="L384" s="55"/>
    </row>
    <row r="385">
      <c r="B385" s="28"/>
      <c r="C385" s="28"/>
      <c r="E385" s="55"/>
      <c r="F385" s="55"/>
      <c r="K385" s="55"/>
      <c r="L385" s="55"/>
    </row>
    <row r="386">
      <c r="B386" s="28"/>
      <c r="C386" s="28"/>
      <c r="E386" s="55"/>
      <c r="F386" s="55"/>
      <c r="K386" s="55"/>
      <c r="L386" s="55"/>
    </row>
    <row r="387">
      <c r="B387" s="28"/>
      <c r="C387" s="28"/>
      <c r="E387" s="55"/>
      <c r="F387" s="55"/>
      <c r="K387" s="55"/>
      <c r="L387" s="55"/>
    </row>
    <row r="388">
      <c r="B388" s="28"/>
      <c r="C388" s="28"/>
      <c r="E388" s="55"/>
      <c r="F388" s="55"/>
      <c r="K388" s="55"/>
      <c r="L388" s="55"/>
    </row>
    <row r="389">
      <c r="B389" s="28"/>
      <c r="C389" s="28"/>
      <c r="E389" s="55"/>
      <c r="F389" s="55"/>
      <c r="K389" s="55"/>
      <c r="L389" s="55"/>
    </row>
    <row r="390">
      <c r="B390" s="28"/>
      <c r="C390" s="28"/>
      <c r="E390" s="55"/>
      <c r="F390" s="55"/>
      <c r="K390" s="55"/>
      <c r="L390" s="55"/>
    </row>
    <row r="391">
      <c r="B391" s="28"/>
      <c r="C391" s="28"/>
      <c r="E391" s="55"/>
      <c r="F391" s="55"/>
      <c r="K391" s="55"/>
      <c r="L391" s="55"/>
    </row>
    <row r="392">
      <c r="B392" s="28"/>
      <c r="C392" s="28"/>
      <c r="E392" s="55"/>
      <c r="F392" s="55"/>
      <c r="K392" s="55"/>
      <c r="L392" s="55"/>
    </row>
    <row r="393">
      <c r="B393" s="28"/>
      <c r="C393" s="28"/>
      <c r="E393" s="55"/>
      <c r="F393" s="55"/>
      <c r="K393" s="55"/>
      <c r="L393" s="55"/>
    </row>
    <row r="394">
      <c r="B394" s="28"/>
      <c r="C394" s="28"/>
      <c r="E394" s="55"/>
      <c r="F394" s="55"/>
      <c r="K394" s="55"/>
      <c r="L394" s="55"/>
    </row>
    <row r="395">
      <c r="B395" s="28"/>
      <c r="C395" s="28"/>
      <c r="E395" s="55"/>
      <c r="F395" s="55"/>
      <c r="K395" s="55"/>
      <c r="L395" s="55"/>
    </row>
    <row r="396">
      <c r="B396" s="28"/>
      <c r="C396" s="28"/>
      <c r="E396" s="55"/>
      <c r="F396" s="55"/>
      <c r="K396" s="55"/>
      <c r="L396" s="55"/>
    </row>
    <row r="397">
      <c r="B397" s="28"/>
      <c r="C397" s="28"/>
      <c r="E397" s="55"/>
      <c r="F397" s="55"/>
      <c r="K397" s="55"/>
      <c r="L397" s="55"/>
    </row>
    <row r="398">
      <c r="B398" s="28"/>
      <c r="C398" s="28"/>
      <c r="E398" s="55"/>
      <c r="F398" s="55"/>
      <c r="K398" s="55"/>
      <c r="L398" s="55"/>
    </row>
    <row r="399">
      <c r="B399" s="28"/>
      <c r="C399" s="28"/>
      <c r="E399" s="55"/>
      <c r="F399" s="55"/>
      <c r="K399" s="55"/>
      <c r="L399" s="55"/>
    </row>
    <row r="400">
      <c r="B400" s="28"/>
      <c r="C400" s="28"/>
      <c r="E400" s="55"/>
      <c r="F400" s="55"/>
      <c r="K400" s="55"/>
      <c r="L400" s="55"/>
    </row>
    <row r="401">
      <c r="B401" s="28"/>
      <c r="C401" s="28"/>
      <c r="E401" s="55"/>
      <c r="F401" s="55"/>
      <c r="K401" s="55"/>
      <c r="L401" s="55"/>
    </row>
    <row r="402">
      <c r="B402" s="28"/>
      <c r="C402" s="28"/>
      <c r="E402" s="55"/>
      <c r="F402" s="55"/>
      <c r="K402" s="55"/>
      <c r="L402" s="55"/>
    </row>
    <row r="403">
      <c r="B403" s="28"/>
      <c r="C403" s="28"/>
      <c r="E403" s="55"/>
      <c r="F403" s="55"/>
      <c r="K403" s="55"/>
      <c r="L403" s="55"/>
    </row>
    <row r="404">
      <c r="B404" s="28"/>
      <c r="C404" s="28"/>
      <c r="E404" s="55"/>
      <c r="F404" s="55"/>
      <c r="K404" s="55"/>
      <c r="L404" s="55"/>
    </row>
    <row r="405">
      <c r="B405" s="28"/>
      <c r="C405" s="28"/>
      <c r="E405" s="55"/>
      <c r="F405" s="55"/>
      <c r="K405" s="55"/>
      <c r="L405" s="55"/>
    </row>
    <row r="406">
      <c r="B406" s="28"/>
      <c r="C406" s="28"/>
      <c r="E406" s="55"/>
      <c r="F406" s="55"/>
      <c r="K406" s="55"/>
      <c r="L406" s="55"/>
    </row>
    <row r="407">
      <c r="B407" s="28"/>
      <c r="C407" s="28"/>
      <c r="E407" s="55"/>
      <c r="F407" s="55"/>
      <c r="K407" s="55"/>
      <c r="L407" s="55"/>
    </row>
    <row r="408">
      <c r="B408" s="28"/>
      <c r="C408" s="28"/>
      <c r="E408" s="55"/>
      <c r="F408" s="55"/>
      <c r="K408" s="55"/>
      <c r="L408" s="55"/>
    </row>
    <row r="409">
      <c r="B409" s="28"/>
      <c r="C409" s="28"/>
      <c r="E409" s="55"/>
      <c r="F409" s="55"/>
      <c r="K409" s="55"/>
      <c r="L409" s="55"/>
    </row>
    <row r="410">
      <c r="B410" s="28"/>
      <c r="C410" s="28"/>
      <c r="E410" s="55"/>
      <c r="F410" s="55"/>
      <c r="K410" s="55"/>
      <c r="L410" s="55"/>
    </row>
    <row r="411">
      <c r="B411" s="28"/>
      <c r="C411" s="28"/>
      <c r="E411" s="55"/>
      <c r="F411" s="55"/>
      <c r="K411" s="55"/>
      <c r="L411" s="55"/>
    </row>
    <row r="412">
      <c r="B412" s="28"/>
      <c r="C412" s="28"/>
      <c r="E412" s="55"/>
      <c r="F412" s="55"/>
      <c r="K412" s="55"/>
      <c r="L412" s="55"/>
    </row>
    <row r="413">
      <c r="B413" s="28"/>
      <c r="C413" s="28"/>
      <c r="E413" s="55"/>
      <c r="F413" s="55"/>
      <c r="K413" s="55"/>
      <c r="L413" s="55"/>
    </row>
    <row r="414">
      <c r="B414" s="28"/>
      <c r="C414" s="28"/>
      <c r="E414" s="55"/>
      <c r="F414" s="55"/>
      <c r="K414" s="55"/>
      <c r="L414" s="55"/>
    </row>
    <row r="415">
      <c r="B415" s="28"/>
      <c r="C415" s="28"/>
      <c r="E415" s="55"/>
      <c r="F415" s="55"/>
      <c r="K415" s="55"/>
      <c r="L415" s="55"/>
    </row>
    <row r="416">
      <c r="B416" s="28"/>
      <c r="C416" s="28"/>
      <c r="E416" s="55"/>
      <c r="F416" s="55"/>
      <c r="K416" s="55"/>
      <c r="L416" s="55"/>
    </row>
    <row r="417">
      <c r="B417" s="28"/>
      <c r="C417" s="28"/>
      <c r="E417" s="55"/>
      <c r="F417" s="55"/>
      <c r="K417" s="55"/>
      <c r="L417" s="55"/>
    </row>
    <row r="418">
      <c r="B418" s="28"/>
      <c r="C418" s="28"/>
      <c r="E418" s="55"/>
      <c r="F418" s="55"/>
      <c r="K418" s="55"/>
      <c r="L418" s="55"/>
    </row>
    <row r="419">
      <c r="B419" s="28"/>
      <c r="C419" s="28"/>
      <c r="E419" s="55"/>
      <c r="F419" s="55"/>
      <c r="K419" s="55"/>
      <c r="L419" s="55"/>
    </row>
    <row r="420">
      <c r="B420" s="28"/>
      <c r="C420" s="28"/>
      <c r="E420" s="55"/>
      <c r="F420" s="55"/>
      <c r="K420" s="55"/>
      <c r="L420" s="55"/>
    </row>
    <row r="421">
      <c r="B421" s="28"/>
      <c r="C421" s="28"/>
      <c r="E421" s="55"/>
      <c r="F421" s="55"/>
      <c r="K421" s="55"/>
      <c r="L421" s="55"/>
    </row>
    <row r="422">
      <c r="B422" s="28"/>
      <c r="C422" s="28"/>
      <c r="E422" s="55"/>
      <c r="F422" s="55"/>
      <c r="K422" s="55"/>
      <c r="L422" s="55"/>
    </row>
    <row r="423">
      <c r="B423" s="28"/>
      <c r="C423" s="28"/>
      <c r="E423" s="55"/>
      <c r="F423" s="55"/>
      <c r="K423" s="55"/>
      <c r="L423" s="55"/>
    </row>
    <row r="424">
      <c r="B424" s="28"/>
      <c r="C424" s="28"/>
      <c r="E424" s="55"/>
      <c r="F424" s="55"/>
      <c r="K424" s="55"/>
      <c r="L424" s="55"/>
    </row>
    <row r="425">
      <c r="B425" s="28"/>
      <c r="C425" s="28"/>
      <c r="E425" s="55"/>
      <c r="F425" s="55"/>
      <c r="K425" s="55"/>
      <c r="L425" s="55"/>
    </row>
    <row r="426">
      <c r="B426" s="28"/>
      <c r="C426" s="28"/>
      <c r="E426" s="55"/>
      <c r="F426" s="55"/>
      <c r="K426" s="55"/>
      <c r="L426" s="55"/>
    </row>
    <row r="427">
      <c r="B427" s="28"/>
      <c r="C427" s="28"/>
      <c r="E427" s="55"/>
      <c r="F427" s="55"/>
      <c r="K427" s="55"/>
      <c r="L427" s="55"/>
    </row>
    <row r="428">
      <c r="B428" s="28"/>
      <c r="C428" s="28"/>
      <c r="E428" s="55"/>
      <c r="F428" s="55"/>
      <c r="K428" s="55"/>
      <c r="L428" s="55"/>
    </row>
    <row r="429">
      <c r="B429" s="28"/>
      <c r="C429" s="28"/>
      <c r="E429" s="55"/>
      <c r="F429" s="55"/>
      <c r="K429" s="55"/>
      <c r="L429" s="55"/>
    </row>
    <row r="430">
      <c r="B430" s="28"/>
      <c r="C430" s="28"/>
      <c r="E430" s="55"/>
      <c r="F430" s="55"/>
      <c r="K430" s="55"/>
      <c r="L430" s="55"/>
    </row>
    <row r="431">
      <c r="B431" s="28"/>
      <c r="C431" s="28"/>
      <c r="E431" s="55"/>
      <c r="F431" s="55"/>
      <c r="K431" s="55"/>
      <c r="L431" s="55"/>
    </row>
    <row r="432">
      <c r="B432" s="28"/>
      <c r="C432" s="28"/>
      <c r="E432" s="55"/>
      <c r="F432" s="55"/>
      <c r="K432" s="55"/>
      <c r="L432" s="55"/>
    </row>
    <row r="433">
      <c r="B433" s="28"/>
      <c r="C433" s="28"/>
      <c r="E433" s="55"/>
      <c r="F433" s="55"/>
      <c r="K433" s="55"/>
      <c r="L433" s="55"/>
    </row>
    <row r="434">
      <c r="B434" s="28"/>
      <c r="C434" s="28"/>
      <c r="E434" s="55"/>
      <c r="F434" s="55"/>
      <c r="K434" s="55"/>
      <c r="L434" s="55"/>
    </row>
    <row r="435">
      <c r="B435" s="28"/>
      <c r="C435" s="28"/>
      <c r="E435" s="55"/>
      <c r="F435" s="55"/>
      <c r="K435" s="55"/>
      <c r="L435" s="55"/>
    </row>
    <row r="436">
      <c r="B436" s="28"/>
      <c r="C436" s="28"/>
      <c r="E436" s="55"/>
      <c r="F436" s="55"/>
      <c r="K436" s="55"/>
      <c r="L436" s="55"/>
    </row>
    <row r="437">
      <c r="B437" s="28"/>
      <c r="C437" s="28"/>
      <c r="E437" s="55"/>
      <c r="F437" s="55"/>
      <c r="K437" s="55"/>
      <c r="L437" s="55"/>
    </row>
    <row r="438">
      <c r="B438" s="28"/>
      <c r="C438" s="28"/>
      <c r="E438" s="55"/>
      <c r="F438" s="55"/>
      <c r="K438" s="55"/>
      <c r="L438" s="55"/>
    </row>
    <row r="439">
      <c r="B439" s="28"/>
      <c r="C439" s="28"/>
      <c r="E439" s="55"/>
      <c r="F439" s="55"/>
      <c r="K439" s="55"/>
      <c r="L439" s="55"/>
    </row>
    <row r="440">
      <c r="B440" s="28"/>
      <c r="C440" s="28"/>
      <c r="E440" s="55"/>
      <c r="F440" s="55"/>
      <c r="K440" s="55"/>
      <c r="L440" s="55"/>
    </row>
    <row r="441">
      <c r="B441" s="28"/>
      <c r="C441" s="28"/>
      <c r="E441" s="55"/>
      <c r="F441" s="55"/>
      <c r="K441" s="55"/>
      <c r="L441" s="55"/>
    </row>
    <row r="442">
      <c r="B442" s="28"/>
      <c r="C442" s="28"/>
      <c r="E442" s="55"/>
      <c r="F442" s="55"/>
      <c r="K442" s="55"/>
      <c r="L442" s="55"/>
    </row>
    <row r="443">
      <c r="B443" s="28"/>
      <c r="C443" s="28"/>
      <c r="E443" s="55"/>
      <c r="F443" s="55"/>
      <c r="K443" s="55"/>
      <c r="L443" s="55"/>
    </row>
    <row r="444">
      <c r="B444" s="28"/>
      <c r="C444" s="28"/>
      <c r="E444" s="55"/>
      <c r="F444" s="55"/>
      <c r="K444" s="55"/>
      <c r="L444" s="55"/>
    </row>
    <row r="445">
      <c r="B445" s="28"/>
      <c r="C445" s="28"/>
      <c r="E445" s="55"/>
      <c r="F445" s="55"/>
      <c r="K445" s="55"/>
      <c r="L445" s="55"/>
    </row>
    <row r="446">
      <c r="B446" s="28"/>
      <c r="C446" s="28"/>
      <c r="E446" s="55"/>
      <c r="F446" s="55"/>
      <c r="K446" s="55"/>
      <c r="L446" s="55"/>
    </row>
    <row r="447">
      <c r="B447" s="28"/>
      <c r="C447" s="28"/>
      <c r="E447" s="55"/>
      <c r="F447" s="55"/>
      <c r="K447" s="55"/>
      <c r="L447" s="55"/>
    </row>
    <row r="448">
      <c r="B448" s="28"/>
      <c r="C448" s="28"/>
      <c r="E448" s="55"/>
      <c r="F448" s="55"/>
      <c r="K448" s="55"/>
      <c r="L448" s="55"/>
    </row>
    <row r="449">
      <c r="B449" s="28"/>
      <c r="C449" s="28"/>
      <c r="E449" s="55"/>
      <c r="F449" s="55"/>
      <c r="K449" s="55"/>
      <c r="L449" s="55"/>
    </row>
    <row r="450">
      <c r="B450" s="28"/>
      <c r="C450" s="28"/>
      <c r="E450" s="55"/>
      <c r="F450" s="55"/>
      <c r="K450" s="55"/>
      <c r="L450" s="55"/>
    </row>
    <row r="451">
      <c r="B451" s="28"/>
      <c r="C451" s="28"/>
      <c r="E451" s="55"/>
      <c r="F451" s="55"/>
      <c r="K451" s="55"/>
      <c r="L451" s="55"/>
    </row>
    <row r="452">
      <c r="B452" s="28"/>
      <c r="C452" s="28"/>
      <c r="E452" s="55"/>
      <c r="F452" s="55"/>
      <c r="K452" s="55"/>
      <c r="L452" s="55"/>
    </row>
    <row r="453">
      <c r="B453" s="28"/>
      <c r="C453" s="28"/>
      <c r="E453" s="55"/>
      <c r="F453" s="55"/>
      <c r="K453" s="55"/>
      <c r="L453" s="55"/>
    </row>
    <row r="454">
      <c r="B454" s="28"/>
      <c r="C454" s="28"/>
      <c r="E454" s="55"/>
      <c r="F454" s="55"/>
      <c r="K454" s="55"/>
      <c r="L454" s="55"/>
    </row>
    <row r="455">
      <c r="B455" s="28"/>
      <c r="C455" s="28"/>
      <c r="E455" s="55"/>
      <c r="F455" s="55"/>
      <c r="K455" s="55"/>
      <c r="L455" s="55"/>
    </row>
    <row r="456">
      <c r="B456" s="28"/>
      <c r="C456" s="28"/>
      <c r="E456" s="55"/>
      <c r="F456" s="55"/>
      <c r="K456" s="55"/>
      <c r="L456" s="55"/>
    </row>
    <row r="457">
      <c r="B457" s="28"/>
      <c r="C457" s="28"/>
      <c r="E457" s="55"/>
      <c r="F457" s="55"/>
      <c r="K457" s="55"/>
      <c r="L457" s="55"/>
    </row>
    <row r="458">
      <c r="B458" s="28"/>
      <c r="C458" s="28"/>
      <c r="E458" s="55"/>
      <c r="F458" s="55"/>
      <c r="K458" s="55"/>
      <c r="L458" s="55"/>
    </row>
    <row r="459">
      <c r="B459" s="28"/>
      <c r="C459" s="28"/>
      <c r="E459" s="55"/>
      <c r="F459" s="55"/>
      <c r="K459" s="55"/>
      <c r="L459" s="55"/>
    </row>
    <row r="460">
      <c r="B460" s="28"/>
      <c r="C460" s="28"/>
      <c r="E460" s="55"/>
      <c r="F460" s="55"/>
      <c r="K460" s="55"/>
      <c r="L460" s="55"/>
    </row>
    <row r="461">
      <c r="B461" s="28"/>
      <c r="C461" s="28"/>
      <c r="E461" s="55"/>
      <c r="F461" s="55"/>
      <c r="K461" s="55"/>
      <c r="L461" s="55"/>
    </row>
    <row r="462">
      <c r="B462" s="28"/>
      <c r="C462" s="28"/>
      <c r="E462" s="55"/>
      <c r="F462" s="55"/>
      <c r="K462" s="55"/>
      <c r="L462" s="55"/>
    </row>
    <row r="463">
      <c r="B463" s="28"/>
      <c r="C463" s="28"/>
      <c r="E463" s="55"/>
      <c r="F463" s="55"/>
      <c r="K463" s="55"/>
      <c r="L463" s="55"/>
    </row>
    <row r="464">
      <c r="B464" s="28"/>
      <c r="C464" s="28"/>
      <c r="E464" s="55"/>
      <c r="F464" s="55"/>
      <c r="K464" s="55"/>
      <c r="L464" s="55"/>
    </row>
    <row r="465">
      <c r="B465" s="28"/>
      <c r="C465" s="28"/>
      <c r="E465" s="55"/>
      <c r="F465" s="55"/>
      <c r="K465" s="55"/>
      <c r="L465" s="55"/>
    </row>
    <row r="466">
      <c r="B466" s="28"/>
      <c r="C466" s="28"/>
      <c r="E466" s="55"/>
      <c r="F466" s="55"/>
      <c r="K466" s="55"/>
      <c r="L466" s="55"/>
    </row>
    <row r="467">
      <c r="B467" s="28"/>
      <c r="C467" s="28"/>
      <c r="E467" s="55"/>
      <c r="F467" s="55"/>
      <c r="K467" s="55"/>
      <c r="L467" s="55"/>
    </row>
    <row r="468">
      <c r="B468" s="28"/>
      <c r="C468" s="28"/>
      <c r="E468" s="55"/>
      <c r="F468" s="55"/>
      <c r="K468" s="55"/>
      <c r="L468" s="55"/>
    </row>
    <row r="469">
      <c r="B469" s="28"/>
      <c r="C469" s="28"/>
      <c r="E469" s="55"/>
      <c r="F469" s="55"/>
      <c r="K469" s="55"/>
      <c r="L469" s="55"/>
    </row>
    <row r="470">
      <c r="B470" s="28"/>
      <c r="C470" s="28"/>
      <c r="E470" s="55"/>
      <c r="F470" s="55"/>
      <c r="K470" s="55"/>
      <c r="L470" s="55"/>
    </row>
    <row r="471">
      <c r="B471" s="28"/>
      <c r="C471" s="28"/>
      <c r="E471" s="55"/>
      <c r="F471" s="55"/>
      <c r="K471" s="55"/>
      <c r="L471" s="55"/>
    </row>
    <row r="472">
      <c r="B472" s="28"/>
      <c r="C472" s="28"/>
      <c r="E472" s="55"/>
      <c r="F472" s="55"/>
      <c r="K472" s="55"/>
      <c r="L472" s="55"/>
    </row>
    <row r="473">
      <c r="B473" s="28"/>
      <c r="C473" s="28"/>
      <c r="E473" s="55"/>
      <c r="F473" s="55"/>
      <c r="K473" s="55"/>
      <c r="L473" s="55"/>
    </row>
    <row r="474">
      <c r="B474" s="28"/>
      <c r="C474" s="28"/>
      <c r="E474" s="55"/>
      <c r="F474" s="55"/>
      <c r="K474" s="55"/>
      <c r="L474" s="55"/>
    </row>
    <row r="475">
      <c r="B475" s="28"/>
      <c r="C475" s="28"/>
      <c r="E475" s="55"/>
      <c r="F475" s="55"/>
      <c r="K475" s="55"/>
      <c r="L475" s="55"/>
    </row>
    <row r="476">
      <c r="B476" s="28"/>
      <c r="C476" s="28"/>
      <c r="E476" s="55"/>
      <c r="F476" s="55"/>
      <c r="K476" s="55"/>
      <c r="L476" s="55"/>
    </row>
    <row r="477">
      <c r="B477" s="28"/>
      <c r="C477" s="28"/>
      <c r="E477" s="55"/>
      <c r="F477" s="55"/>
      <c r="K477" s="55"/>
      <c r="L477" s="55"/>
    </row>
    <row r="478">
      <c r="B478" s="28"/>
      <c r="C478" s="28"/>
      <c r="E478" s="55"/>
      <c r="F478" s="55"/>
      <c r="K478" s="55"/>
      <c r="L478" s="55"/>
    </row>
    <row r="479">
      <c r="B479" s="28"/>
      <c r="C479" s="28"/>
      <c r="E479" s="55"/>
      <c r="F479" s="55"/>
      <c r="K479" s="55"/>
      <c r="L479" s="55"/>
    </row>
    <row r="480">
      <c r="B480" s="28"/>
      <c r="C480" s="28"/>
      <c r="E480" s="55"/>
      <c r="F480" s="55"/>
      <c r="K480" s="55"/>
      <c r="L480" s="55"/>
    </row>
    <row r="481">
      <c r="B481" s="28"/>
      <c r="C481" s="28"/>
      <c r="E481" s="55"/>
      <c r="F481" s="55"/>
      <c r="K481" s="55"/>
      <c r="L481" s="55"/>
    </row>
    <row r="482">
      <c r="B482" s="28"/>
      <c r="C482" s="28"/>
      <c r="E482" s="55"/>
      <c r="F482" s="55"/>
      <c r="K482" s="55"/>
      <c r="L482" s="55"/>
    </row>
    <row r="483">
      <c r="B483" s="28"/>
      <c r="C483" s="28"/>
      <c r="E483" s="55"/>
      <c r="F483" s="55"/>
      <c r="K483" s="55"/>
      <c r="L483" s="55"/>
    </row>
    <row r="484">
      <c r="B484" s="28"/>
      <c r="C484" s="28"/>
      <c r="E484" s="55"/>
      <c r="F484" s="55"/>
      <c r="K484" s="55"/>
      <c r="L484" s="55"/>
    </row>
    <row r="485">
      <c r="B485" s="28"/>
      <c r="C485" s="28"/>
      <c r="E485" s="55"/>
      <c r="F485" s="55"/>
      <c r="K485" s="55"/>
      <c r="L485" s="55"/>
    </row>
    <row r="486">
      <c r="B486" s="28"/>
      <c r="C486" s="28"/>
      <c r="E486" s="55"/>
      <c r="F486" s="55"/>
      <c r="K486" s="55"/>
      <c r="L486" s="55"/>
    </row>
    <row r="487">
      <c r="B487" s="28"/>
      <c r="C487" s="28"/>
      <c r="E487" s="55"/>
      <c r="F487" s="55"/>
      <c r="K487" s="55"/>
      <c r="L487" s="55"/>
    </row>
    <row r="488">
      <c r="B488" s="28"/>
      <c r="C488" s="28"/>
      <c r="E488" s="55"/>
      <c r="F488" s="55"/>
      <c r="K488" s="55"/>
      <c r="L488" s="55"/>
    </row>
    <row r="489">
      <c r="B489" s="28"/>
      <c r="C489" s="28"/>
      <c r="E489" s="55"/>
      <c r="F489" s="55"/>
      <c r="K489" s="55"/>
      <c r="L489" s="55"/>
    </row>
    <row r="490">
      <c r="B490" s="28"/>
      <c r="C490" s="28"/>
      <c r="E490" s="55"/>
      <c r="F490" s="55"/>
      <c r="K490" s="55"/>
      <c r="L490" s="55"/>
    </row>
    <row r="491">
      <c r="B491" s="28"/>
      <c r="C491" s="28"/>
      <c r="E491" s="55"/>
      <c r="F491" s="55"/>
      <c r="K491" s="55"/>
      <c r="L491" s="55"/>
    </row>
    <row r="492">
      <c r="B492" s="28"/>
      <c r="C492" s="28"/>
      <c r="E492" s="55"/>
      <c r="F492" s="55"/>
      <c r="K492" s="55"/>
      <c r="L492" s="55"/>
    </row>
    <row r="493">
      <c r="B493" s="28"/>
      <c r="C493" s="28"/>
      <c r="E493" s="55"/>
      <c r="F493" s="55"/>
      <c r="K493" s="55"/>
      <c r="L493" s="55"/>
    </row>
    <row r="494">
      <c r="B494" s="28"/>
      <c r="C494" s="28"/>
      <c r="E494" s="55"/>
      <c r="F494" s="55"/>
      <c r="K494" s="55"/>
      <c r="L494" s="55"/>
    </row>
    <row r="495">
      <c r="B495" s="28"/>
      <c r="C495" s="28"/>
      <c r="E495" s="55"/>
      <c r="F495" s="55"/>
      <c r="K495" s="55"/>
      <c r="L495" s="55"/>
    </row>
    <row r="496">
      <c r="B496" s="28"/>
      <c r="C496" s="28"/>
      <c r="E496" s="55"/>
      <c r="F496" s="55"/>
      <c r="K496" s="55"/>
      <c r="L496" s="55"/>
    </row>
    <row r="497">
      <c r="B497" s="28"/>
      <c r="C497" s="28"/>
      <c r="E497" s="55"/>
      <c r="F497" s="55"/>
      <c r="K497" s="55"/>
      <c r="L497" s="55"/>
    </row>
    <row r="498">
      <c r="B498" s="28"/>
      <c r="C498" s="28"/>
      <c r="E498" s="55"/>
      <c r="F498" s="55"/>
      <c r="K498" s="55"/>
      <c r="L498" s="55"/>
    </row>
    <row r="499">
      <c r="B499" s="28"/>
      <c r="C499" s="28"/>
      <c r="E499" s="55"/>
      <c r="F499" s="55"/>
      <c r="K499" s="55"/>
      <c r="L499" s="55"/>
    </row>
    <row r="500">
      <c r="B500" s="28"/>
      <c r="C500" s="28"/>
      <c r="E500" s="55"/>
      <c r="F500" s="55"/>
      <c r="K500" s="55"/>
      <c r="L500" s="55"/>
    </row>
    <row r="501">
      <c r="B501" s="28"/>
      <c r="C501" s="28"/>
      <c r="E501" s="55"/>
      <c r="F501" s="55"/>
      <c r="K501" s="55"/>
      <c r="L501" s="55"/>
    </row>
    <row r="502">
      <c r="B502" s="28"/>
      <c r="C502" s="28"/>
      <c r="E502" s="55"/>
      <c r="F502" s="55"/>
      <c r="K502" s="55"/>
      <c r="L502" s="55"/>
    </row>
    <row r="503">
      <c r="B503" s="28"/>
      <c r="C503" s="28"/>
      <c r="E503" s="55"/>
      <c r="F503" s="55"/>
      <c r="K503" s="55"/>
      <c r="L503" s="55"/>
    </row>
    <row r="504">
      <c r="B504" s="28"/>
      <c r="C504" s="28"/>
      <c r="E504" s="55"/>
      <c r="F504" s="55"/>
      <c r="K504" s="55"/>
      <c r="L504" s="55"/>
    </row>
    <row r="505">
      <c r="B505" s="28"/>
      <c r="C505" s="28"/>
      <c r="E505" s="55"/>
      <c r="F505" s="55"/>
      <c r="K505" s="55"/>
      <c r="L505" s="55"/>
    </row>
    <row r="506">
      <c r="B506" s="28"/>
      <c r="C506" s="28"/>
      <c r="E506" s="55"/>
      <c r="F506" s="55"/>
      <c r="K506" s="55"/>
      <c r="L506" s="55"/>
    </row>
    <row r="507">
      <c r="B507" s="28"/>
      <c r="C507" s="28"/>
      <c r="E507" s="55"/>
      <c r="F507" s="55"/>
      <c r="K507" s="55"/>
      <c r="L507" s="55"/>
    </row>
    <row r="508">
      <c r="B508" s="28"/>
      <c r="C508" s="28"/>
      <c r="E508" s="55"/>
      <c r="F508" s="55"/>
      <c r="K508" s="55"/>
      <c r="L508" s="55"/>
    </row>
    <row r="509">
      <c r="B509" s="28"/>
      <c r="C509" s="28"/>
      <c r="E509" s="55"/>
      <c r="F509" s="55"/>
      <c r="K509" s="55"/>
      <c r="L509" s="55"/>
    </row>
    <row r="510">
      <c r="B510" s="28"/>
      <c r="C510" s="28"/>
      <c r="E510" s="55"/>
      <c r="F510" s="55"/>
      <c r="K510" s="55"/>
      <c r="L510" s="55"/>
    </row>
    <row r="511">
      <c r="B511" s="28"/>
      <c r="C511" s="28"/>
      <c r="E511" s="55"/>
      <c r="F511" s="55"/>
      <c r="K511" s="55"/>
      <c r="L511" s="55"/>
    </row>
    <row r="512">
      <c r="B512" s="28"/>
      <c r="C512" s="28"/>
      <c r="E512" s="55"/>
      <c r="F512" s="55"/>
      <c r="K512" s="55"/>
      <c r="L512" s="55"/>
    </row>
    <row r="513">
      <c r="B513" s="28"/>
      <c r="C513" s="28"/>
      <c r="E513" s="55"/>
      <c r="F513" s="55"/>
      <c r="K513" s="55"/>
      <c r="L513" s="55"/>
    </row>
    <row r="514">
      <c r="B514" s="28"/>
      <c r="C514" s="28"/>
      <c r="E514" s="55"/>
      <c r="F514" s="55"/>
      <c r="K514" s="55"/>
      <c r="L514" s="55"/>
    </row>
    <row r="515">
      <c r="B515" s="28"/>
      <c r="C515" s="28"/>
      <c r="E515" s="55"/>
      <c r="F515" s="55"/>
      <c r="K515" s="55"/>
      <c r="L515" s="55"/>
    </row>
    <row r="516">
      <c r="B516" s="28"/>
      <c r="C516" s="28"/>
      <c r="E516" s="55"/>
      <c r="F516" s="55"/>
      <c r="K516" s="55"/>
      <c r="L516" s="55"/>
    </row>
    <row r="517">
      <c r="B517" s="28"/>
      <c r="C517" s="28"/>
      <c r="E517" s="55"/>
      <c r="F517" s="55"/>
      <c r="K517" s="55"/>
      <c r="L517" s="55"/>
    </row>
    <row r="518">
      <c r="B518" s="28"/>
      <c r="C518" s="28"/>
      <c r="E518" s="55"/>
      <c r="F518" s="55"/>
      <c r="K518" s="55"/>
      <c r="L518" s="55"/>
    </row>
    <row r="519">
      <c r="B519" s="28"/>
      <c r="C519" s="28"/>
      <c r="E519" s="55"/>
      <c r="F519" s="55"/>
      <c r="K519" s="55"/>
      <c r="L519" s="55"/>
    </row>
    <row r="520">
      <c r="B520" s="28"/>
      <c r="C520" s="28"/>
      <c r="E520" s="55"/>
      <c r="F520" s="55"/>
      <c r="K520" s="55"/>
      <c r="L520" s="55"/>
    </row>
    <row r="521">
      <c r="B521" s="28"/>
      <c r="C521" s="28"/>
      <c r="E521" s="55"/>
      <c r="F521" s="55"/>
      <c r="K521" s="55"/>
      <c r="L521" s="55"/>
    </row>
    <row r="522">
      <c r="B522" s="28"/>
      <c r="C522" s="28"/>
      <c r="E522" s="55"/>
      <c r="F522" s="55"/>
      <c r="K522" s="55"/>
      <c r="L522" s="55"/>
    </row>
    <row r="523">
      <c r="B523" s="28"/>
      <c r="C523" s="28"/>
      <c r="E523" s="55"/>
      <c r="F523" s="55"/>
      <c r="K523" s="55"/>
      <c r="L523" s="55"/>
    </row>
    <row r="524">
      <c r="B524" s="28"/>
      <c r="C524" s="28"/>
      <c r="E524" s="55"/>
      <c r="F524" s="55"/>
      <c r="K524" s="55"/>
      <c r="L524" s="55"/>
    </row>
    <row r="525">
      <c r="B525" s="28"/>
      <c r="C525" s="28"/>
      <c r="E525" s="55"/>
      <c r="F525" s="55"/>
      <c r="K525" s="55"/>
      <c r="L525" s="55"/>
    </row>
    <row r="526">
      <c r="B526" s="28"/>
      <c r="C526" s="28"/>
      <c r="E526" s="55"/>
      <c r="F526" s="55"/>
      <c r="K526" s="55"/>
      <c r="L526" s="55"/>
    </row>
    <row r="527">
      <c r="B527" s="28"/>
      <c r="C527" s="28"/>
      <c r="E527" s="55"/>
      <c r="F527" s="55"/>
      <c r="K527" s="55"/>
      <c r="L527" s="55"/>
    </row>
    <row r="528">
      <c r="B528" s="28"/>
      <c r="C528" s="28"/>
      <c r="E528" s="55"/>
      <c r="F528" s="55"/>
      <c r="K528" s="55"/>
      <c r="L528" s="55"/>
    </row>
    <row r="529">
      <c r="B529" s="28"/>
      <c r="C529" s="28"/>
      <c r="E529" s="55"/>
      <c r="F529" s="55"/>
      <c r="K529" s="55"/>
      <c r="L529" s="55"/>
    </row>
    <row r="530">
      <c r="B530" s="28"/>
      <c r="C530" s="28"/>
      <c r="E530" s="55"/>
      <c r="F530" s="55"/>
      <c r="K530" s="55"/>
      <c r="L530" s="55"/>
    </row>
    <row r="531">
      <c r="B531" s="28"/>
      <c r="C531" s="28"/>
      <c r="E531" s="55"/>
      <c r="F531" s="55"/>
      <c r="K531" s="55"/>
      <c r="L531" s="55"/>
    </row>
    <row r="532">
      <c r="B532" s="28"/>
      <c r="C532" s="28"/>
      <c r="E532" s="55"/>
      <c r="F532" s="55"/>
      <c r="K532" s="55"/>
      <c r="L532" s="55"/>
    </row>
    <row r="533">
      <c r="B533" s="28"/>
      <c r="C533" s="28"/>
      <c r="E533" s="55"/>
      <c r="F533" s="55"/>
      <c r="K533" s="55"/>
      <c r="L533" s="55"/>
    </row>
    <row r="534">
      <c r="B534" s="28"/>
      <c r="C534" s="28"/>
      <c r="E534" s="55"/>
      <c r="F534" s="55"/>
      <c r="K534" s="55"/>
      <c r="L534" s="55"/>
    </row>
    <row r="535">
      <c r="B535" s="28"/>
      <c r="C535" s="28"/>
      <c r="E535" s="55"/>
      <c r="F535" s="55"/>
      <c r="K535" s="55"/>
      <c r="L535" s="55"/>
    </row>
    <row r="536">
      <c r="B536" s="28"/>
      <c r="C536" s="28"/>
      <c r="E536" s="55"/>
      <c r="F536" s="55"/>
      <c r="K536" s="55"/>
      <c r="L536" s="55"/>
    </row>
    <row r="537">
      <c r="B537" s="28"/>
      <c r="C537" s="28"/>
      <c r="E537" s="55"/>
      <c r="F537" s="55"/>
      <c r="K537" s="55"/>
      <c r="L537" s="55"/>
    </row>
    <row r="538">
      <c r="B538" s="28"/>
      <c r="C538" s="28"/>
      <c r="E538" s="55"/>
      <c r="F538" s="55"/>
      <c r="K538" s="55"/>
      <c r="L538" s="55"/>
    </row>
    <row r="539">
      <c r="B539" s="28"/>
      <c r="C539" s="28"/>
      <c r="E539" s="55"/>
      <c r="F539" s="55"/>
      <c r="K539" s="55"/>
      <c r="L539" s="55"/>
    </row>
    <row r="540">
      <c r="B540" s="28"/>
      <c r="C540" s="28"/>
      <c r="E540" s="55"/>
      <c r="F540" s="55"/>
      <c r="K540" s="55"/>
      <c r="L540" s="55"/>
    </row>
    <row r="541">
      <c r="B541" s="28"/>
      <c r="C541" s="28"/>
      <c r="E541" s="55"/>
      <c r="F541" s="55"/>
      <c r="K541" s="55"/>
      <c r="L541" s="55"/>
    </row>
    <row r="542">
      <c r="B542" s="28"/>
      <c r="C542" s="28"/>
      <c r="E542" s="55"/>
      <c r="F542" s="55"/>
      <c r="K542" s="55"/>
      <c r="L542" s="55"/>
    </row>
    <row r="543">
      <c r="B543" s="28"/>
      <c r="C543" s="28"/>
      <c r="E543" s="55"/>
      <c r="F543" s="55"/>
      <c r="K543" s="55"/>
      <c r="L543" s="55"/>
    </row>
    <row r="544">
      <c r="B544" s="28"/>
      <c r="C544" s="28"/>
      <c r="E544" s="55"/>
      <c r="F544" s="55"/>
      <c r="K544" s="55"/>
      <c r="L544" s="55"/>
    </row>
    <row r="545">
      <c r="B545" s="28"/>
      <c r="C545" s="28"/>
      <c r="E545" s="55"/>
      <c r="F545" s="55"/>
      <c r="K545" s="55"/>
      <c r="L545" s="55"/>
    </row>
    <row r="546">
      <c r="B546" s="28"/>
      <c r="C546" s="28"/>
      <c r="E546" s="55"/>
      <c r="F546" s="55"/>
      <c r="K546" s="55"/>
      <c r="L546" s="55"/>
    </row>
    <row r="547">
      <c r="B547" s="28"/>
      <c r="C547" s="28"/>
      <c r="E547" s="55"/>
      <c r="F547" s="55"/>
      <c r="K547" s="55"/>
      <c r="L547" s="55"/>
    </row>
    <row r="548">
      <c r="B548" s="28"/>
      <c r="C548" s="28"/>
      <c r="E548" s="55"/>
      <c r="F548" s="55"/>
      <c r="K548" s="55"/>
      <c r="L548" s="55"/>
    </row>
    <row r="549">
      <c r="B549" s="28"/>
      <c r="C549" s="28"/>
      <c r="E549" s="55"/>
      <c r="F549" s="55"/>
      <c r="K549" s="55"/>
      <c r="L549" s="55"/>
    </row>
    <row r="550">
      <c r="B550" s="28"/>
      <c r="C550" s="28"/>
      <c r="E550" s="55"/>
      <c r="F550" s="55"/>
      <c r="K550" s="55"/>
      <c r="L550" s="55"/>
    </row>
    <row r="551">
      <c r="B551" s="28"/>
      <c r="C551" s="28"/>
      <c r="E551" s="55"/>
      <c r="F551" s="55"/>
      <c r="K551" s="55"/>
      <c r="L551" s="55"/>
    </row>
    <row r="552">
      <c r="B552" s="28"/>
      <c r="C552" s="28"/>
      <c r="E552" s="55"/>
      <c r="F552" s="55"/>
      <c r="K552" s="55"/>
      <c r="L552" s="55"/>
    </row>
    <row r="553">
      <c r="B553" s="28"/>
      <c r="C553" s="28"/>
      <c r="E553" s="55"/>
      <c r="F553" s="55"/>
      <c r="K553" s="55"/>
      <c r="L553" s="55"/>
    </row>
    <row r="554">
      <c r="B554" s="28"/>
      <c r="C554" s="28"/>
      <c r="E554" s="55"/>
      <c r="F554" s="55"/>
      <c r="K554" s="55"/>
      <c r="L554" s="55"/>
    </row>
    <row r="555">
      <c r="B555" s="28"/>
      <c r="C555" s="28"/>
      <c r="E555" s="55"/>
      <c r="F555" s="55"/>
      <c r="K555" s="55"/>
      <c r="L555" s="55"/>
    </row>
    <row r="556">
      <c r="B556" s="28"/>
      <c r="C556" s="28"/>
      <c r="E556" s="55"/>
      <c r="F556" s="55"/>
      <c r="K556" s="55"/>
      <c r="L556" s="55"/>
    </row>
    <row r="557">
      <c r="B557" s="28"/>
      <c r="C557" s="28"/>
      <c r="E557" s="55"/>
      <c r="F557" s="55"/>
      <c r="K557" s="55"/>
      <c r="L557" s="55"/>
    </row>
    <row r="558">
      <c r="B558" s="28"/>
      <c r="C558" s="28"/>
      <c r="E558" s="55"/>
      <c r="F558" s="55"/>
      <c r="K558" s="55"/>
      <c r="L558" s="55"/>
    </row>
    <row r="559">
      <c r="B559" s="28"/>
      <c r="C559" s="28"/>
      <c r="E559" s="55"/>
      <c r="F559" s="55"/>
      <c r="K559" s="55"/>
      <c r="L559" s="55"/>
    </row>
    <row r="560">
      <c r="B560" s="28"/>
      <c r="C560" s="28"/>
      <c r="E560" s="55"/>
      <c r="F560" s="55"/>
      <c r="K560" s="55"/>
      <c r="L560" s="55"/>
    </row>
    <row r="561">
      <c r="B561" s="28"/>
      <c r="C561" s="28"/>
      <c r="E561" s="55"/>
      <c r="F561" s="55"/>
      <c r="K561" s="55"/>
      <c r="L561" s="55"/>
    </row>
    <row r="562">
      <c r="B562" s="28"/>
      <c r="C562" s="28"/>
      <c r="E562" s="55"/>
      <c r="F562" s="55"/>
      <c r="K562" s="55"/>
      <c r="L562" s="55"/>
    </row>
    <row r="563">
      <c r="B563" s="28"/>
      <c r="C563" s="28"/>
      <c r="E563" s="55"/>
      <c r="F563" s="55"/>
      <c r="K563" s="55"/>
      <c r="L563" s="55"/>
    </row>
    <row r="564">
      <c r="B564" s="28"/>
      <c r="C564" s="28"/>
      <c r="E564" s="55"/>
      <c r="F564" s="55"/>
      <c r="K564" s="55"/>
      <c r="L564" s="55"/>
    </row>
    <row r="565">
      <c r="B565" s="28"/>
      <c r="C565" s="28"/>
      <c r="E565" s="55"/>
      <c r="F565" s="55"/>
      <c r="K565" s="55"/>
      <c r="L565" s="55"/>
    </row>
    <row r="566">
      <c r="B566" s="28"/>
      <c r="C566" s="28"/>
      <c r="E566" s="55"/>
      <c r="F566" s="55"/>
      <c r="K566" s="55"/>
      <c r="L566" s="55"/>
    </row>
    <row r="567">
      <c r="B567" s="28"/>
      <c r="C567" s="28"/>
      <c r="E567" s="55"/>
      <c r="F567" s="55"/>
      <c r="K567" s="55"/>
      <c r="L567" s="55"/>
    </row>
    <row r="568">
      <c r="B568" s="28"/>
      <c r="C568" s="28"/>
      <c r="E568" s="55"/>
      <c r="F568" s="55"/>
      <c r="K568" s="55"/>
      <c r="L568" s="55"/>
    </row>
    <row r="569">
      <c r="B569" s="28"/>
      <c r="C569" s="28"/>
      <c r="E569" s="55"/>
      <c r="F569" s="55"/>
      <c r="K569" s="55"/>
      <c r="L569" s="55"/>
    </row>
    <row r="570">
      <c r="B570" s="28"/>
      <c r="C570" s="28"/>
      <c r="E570" s="55"/>
      <c r="F570" s="55"/>
      <c r="K570" s="55"/>
      <c r="L570" s="55"/>
    </row>
    <row r="571">
      <c r="B571" s="28"/>
      <c r="C571" s="28"/>
      <c r="E571" s="55"/>
      <c r="F571" s="55"/>
      <c r="K571" s="55"/>
      <c r="L571" s="55"/>
    </row>
    <row r="572">
      <c r="B572" s="28"/>
      <c r="C572" s="28"/>
      <c r="E572" s="55"/>
      <c r="F572" s="55"/>
      <c r="K572" s="55"/>
      <c r="L572" s="55"/>
    </row>
    <row r="573">
      <c r="B573" s="28"/>
      <c r="C573" s="28"/>
      <c r="E573" s="55"/>
      <c r="F573" s="55"/>
      <c r="K573" s="55"/>
      <c r="L573" s="55"/>
    </row>
    <row r="574">
      <c r="B574" s="28"/>
      <c r="C574" s="28"/>
      <c r="E574" s="55"/>
      <c r="F574" s="55"/>
      <c r="K574" s="55"/>
      <c r="L574" s="55"/>
    </row>
    <row r="575">
      <c r="B575" s="28"/>
      <c r="C575" s="28"/>
      <c r="E575" s="55"/>
      <c r="F575" s="55"/>
      <c r="K575" s="55"/>
      <c r="L575" s="55"/>
    </row>
    <row r="576">
      <c r="B576" s="28"/>
      <c r="C576" s="28"/>
      <c r="E576" s="55"/>
      <c r="F576" s="55"/>
      <c r="K576" s="55"/>
      <c r="L576" s="55"/>
    </row>
    <row r="577">
      <c r="B577" s="28"/>
      <c r="C577" s="28"/>
      <c r="E577" s="55"/>
      <c r="F577" s="55"/>
      <c r="K577" s="55"/>
      <c r="L577" s="55"/>
    </row>
    <row r="578">
      <c r="B578" s="28"/>
      <c r="C578" s="28"/>
      <c r="E578" s="55"/>
      <c r="F578" s="55"/>
      <c r="K578" s="55"/>
      <c r="L578" s="55"/>
    </row>
    <row r="579">
      <c r="B579" s="28"/>
      <c r="C579" s="28"/>
      <c r="E579" s="55"/>
      <c r="F579" s="55"/>
      <c r="K579" s="55"/>
      <c r="L579" s="55"/>
    </row>
    <row r="580">
      <c r="B580" s="28"/>
      <c r="C580" s="28"/>
      <c r="E580" s="55"/>
      <c r="F580" s="55"/>
      <c r="K580" s="55"/>
      <c r="L580" s="55"/>
    </row>
    <row r="581">
      <c r="B581" s="28"/>
      <c r="C581" s="28"/>
      <c r="E581" s="55"/>
      <c r="F581" s="55"/>
      <c r="K581" s="55"/>
      <c r="L581" s="55"/>
    </row>
    <row r="582">
      <c r="B582" s="28"/>
      <c r="C582" s="28"/>
      <c r="E582" s="55"/>
      <c r="F582" s="55"/>
      <c r="K582" s="55"/>
      <c r="L582" s="55"/>
    </row>
    <row r="583">
      <c r="B583" s="28"/>
      <c r="C583" s="28"/>
      <c r="E583" s="55"/>
      <c r="F583" s="55"/>
      <c r="K583" s="55"/>
      <c r="L583" s="55"/>
    </row>
    <row r="584">
      <c r="B584" s="28"/>
      <c r="C584" s="28"/>
      <c r="E584" s="55"/>
      <c r="F584" s="55"/>
      <c r="K584" s="55"/>
      <c r="L584" s="55"/>
    </row>
    <row r="585">
      <c r="B585" s="28"/>
      <c r="C585" s="28"/>
      <c r="E585" s="55"/>
      <c r="F585" s="55"/>
      <c r="K585" s="55"/>
      <c r="L585" s="55"/>
    </row>
    <row r="586">
      <c r="B586" s="28"/>
      <c r="C586" s="28"/>
      <c r="E586" s="55"/>
      <c r="F586" s="55"/>
      <c r="K586" s="55"/>
      <c r="L586" s="55"/>
    </row>
    <row r="587">
      <c r="B587" s="28"/>
      <c r="C587" s="28"/>
      <c r="E587" s="55"/>
      <c r="F587" s="55"/>
      <c r="K587" s="55"/>
      <c r="L587" s="55"/>
    </row>
    <row r="588">
      <c r="B588" s="28"/>
      <c r="C588" s="28"/>
      <c r="E588" s="55"/>
      <c r="F588" s="55"/>
      <c r="K588" s="55"/>
      <c r="L588" s="55"/>
    </row>
    <row r="589">
      <c r="B589" s="28"/>
      <c r="C589" s="28"/>
      <c r="E589" s="55"/>
      <c r="F589" s="55"/>
      <c r="K589" s="55"/>
      <c r="L589" s="55"/>
    </row>
    <row r="590">
      <c r="B590" s="28"/>
      <c r="C590" s="28"/>
      <c r="E590" s="55"/>
      <c r="F590" s="55"/>
      <c r="K590" s="55"/>
      <c r="L590" s="55"/>
    </row>
    <row r="591">
      <c r="B591" s="28"/>
      <c r="C591" s="28"/>
      <c r="E591" s="55"/>
      <c r="F591" s="55"/>
      <c r="K591" s="55"/>
      <c r="L591" s="55"/>
    </row>
    <row r="592">
      <c r="B592" s="28"/>
      <c r="C592" s="28"/>
      <c r="E592" s="55"/>
      <c r="F592" s="55"/>
      <c r="K592" s="55"/>
      <c r="L592" s="55"/>
    </row>
    <row r="593">
      <c r="B593" s="28"/>
      <c r="C593" s="28"/>
      <c r="E593" s="55"/>
      <c r="F593" s="55"/>
      <c r="K593" s="55"/>
      <c r="L593" s="55"/>
    </row>
    <row r="594">
      <c r="B594" s="28"/>
      <c r="C594" s="28"/>
      <c r="E594" s="55"/>
      <c r="F594" s="55"/>
      <c r="K594" s="55"/>
      <c r="L594" s="55"/>
    </row>
    <row r="595">
      <c r="B595" s="28"/>
      <c r="C595" s="28"/>
      <c r="E595" s="55"/>
      <c r="F595" s="55"/>
      <c r="K595" s="55"/>
      <c r="L595" s="55"/>
    </row>
    <row r="596">
      <c r="B596" s="28"/>
      <c r="C596" s="28"/>
      <c r="E596" s="55"/>
      <c r="F596" s="55"/>
      <c r="K596" s="55"/>
      <c r="L596" s="55"/>
    </row>
    <row r="597">
      <c r="B597" s="28"/>
      <c r="C597" s="28"/>
      <c r="E597" s="55"/>
      <c r="F597" s="55"/>
      <c r="K597" s="55"/>
      <c r="L597" s="55"/>
    </row>
    <row r="598">
      <c r="B598" s="28"/>
      <c r="C598" s="28"/>
      <c r="E598" s="55"/>
      <c r="F598" s="55"/>
      <c r="K598" s="55"/>
      <c r="L598" s="55"/>
    </row>
    <row r="599">
      <c r="B599" s="28"/>
      <c r="C599" s="28"/>
      <c r="E599" s="55"/>
      <c r="F599" s="55"/>
      <c r="K599" s="55"/>
      <c r="L599" s="55"/>
    </row>
    <row r="600">
      <c r="B600" s="28"/>
      <c r="C600" s="28"/>
      <c r="E600" s="55"/>
      <c r="F600" s="55"/>
      <c r="K600" s="55"/>
      <c r="L600" s="55"/>
    </row>
    <row r="601">
      <c r="B601" s="28"/>
      <c r="C601" s="28"/>
      <c r="E601" s="55"/>
      <c r="F601" s="55"/>
      <c r="K601" s="55"/>
      <c r="L601" s="55"/>
    </row>
    <row r="602">
      <c r="B602" s="28"/>
      <c r="C602" s="28"/>
      <c r="E602" s="55"/>
      <c r="F602" s="55"/>
      <c r="K602" s="55"/>
      <c r="L602" s="55"/>
    </row>
    <row r="603">
      <c r="B603" s="28"/>
      <c r="C603" s="28"/>
      <c r="E603" s="55"/>
      <c r="F603" s="55"/>
      <c r="K603" s="55"/>
      <c r="L603" s="55"/>
    </row>
    <row r="604">
      <c r="B604" s="28"/>
      <c r="C604" s="28"/>
      <c r="E604" s="55"/>
      <c r="F604" s="55"/>
      <c r="K604" s="55"/>
      <c r="L604" s="55"/>
    </row>
    <row r="605">
      <c r="B605" s="28"/>
      <c r="C605" s="28"/>
      <c r="E605" s="55"/>
      <c r="F605" s="55"/>
      <c r="K605" s="55"/>
      <c r="L605" s="55"/>
    </row>
    <row r="606">
      <c r="B606" s="28"/>
      <c r="C606" s="28"/>
      <c r="E606" s="55"/>
      <c r="F606" s="55"/>
      <c r="K606" s="55"/>
      <c r="L606" s="55"/>
    </row>
    <row r="607">
      <c r="B607" s="28"/>
      <c r="C607" s="28"/>
      <c r="E607" s="55"/>
      <c r="F607" s="55"/>
      <c r="K607" s="55"/>
      <c r="L607" s="55"/>
    </row>
    <row r="608">
      <c r="B608" s="28"/>
      <c r="C608" s="28"/>
      <c r="E608" s="55"/>
      <c r="F608" s="55"/>
      <c r="K608" s="55"/>
      <c r="L608" s="55"/>
    </row>
    <row r="609">
      <c r="B609" s="28"/>
      <c r="C609" s="28"/>
      <c r="E609" s="55"/>
      <c r="F609" s="55"/>
      <c r="K609" s="55"/>
      <c r="L609" s="55"/>
    </row>
    <row r="610">
      <c r="B610" s="28"/>
      <c r="C610" s="28"/>
      <c r="E610" s="55"/>
      <c r="F610" s="55"/>
      <c r="K610" s="55"/>
      <c r="L610" s="55"/>
    </row>
    <row r="611">
      <c r="B611" s="28"/>
      <c r="C611" s="28"/>
      <c r="E611" s="55"/>
      <c r="F611" s="55"/>
      <c r="K611" s="55"/>
      <c r="L611" s="55"/>
    </row>
    <row r="612">
      <c r="B612" s="28"/>
      <c r="C612" s="28"/>
      <c r="E612" s="55"/>
      <c r="F612" s="55"/>
      <c r="K612" s="55"/>
      <c r="L612" s="55"/>
    </row>
    <row r="613">
      <c r="B613" s="28"/>
      <c r="C613" s="28"/>
      <c r="E613" s="55"/>
      <c r="F613" s="55"/>
      <c r="K613" s="55"/>
      <c r="L613" s="55"/>
    </row>
    <row r="614">
      <c r="B614" s="28"/>
      <c r="C614" s="28"/>
      <c r="E614" s="55"/>
      <c r="F614" s="55"/>
      <c r="K614" s="55"/>
      <c r="L614" s="55"/>
    </row>
    <row r="615">
      <c r="B615" s="28"/>
      <c r="C615" s="28"/>
      <c r="E615" s="55"/>
      <c r="F615" s="55"/>
      <c r="K615" s="55"/>
      <c r="L615" s="55"/>
    </row>
    <row r="616">
      <c r="B616" s="28"/>
      <c r="C616" s="28"/>
      <c r="E616" s="55"/>
      <c r="F616" s="55"/>
      <c r="K616" s="55"/>
      <c r="L616" s="55"/>
    </row>
    <row r="617">
      <c r="B617" s="28"/>
      <c r="C617" s="28"/>
      <c r="E617" s="55"/>
      <c r="F617" s="55"/>
      <c r="K617" s="55"/>
      <c r="L617" s="55"/>
    </row>
    <row r="618">
      <c r="B618" s="28"/>
      <c r="C618" s="28"/>
      <c r="E618" s="55"/>
      <c r="F618" s="55"/>
      <c r="K618" s="55"/>
      <c r="L618" s="55"/>
    </row>
    <row r="619">
      <c r="B619" s="28"/>
      <c r="C619" s="28"/>
      <c r="E619" s="55"/>
      <c r="F619" s="55"/>
      <c r="K619" s="55"/>
      <c r="L619" s="55"/>
    </row>
    <row r="620">
      <c r="B620" s="28"/>
      <c r="C620" s="28"/>
      <c r="E620" s="55"/>
      <c r="F620" s="55"/>
      <c r="K620" s="55"/>
      <c r="L620" s="55"/>
    </row>
    <row r="621">
      <c r="B621" s="28"/>
      <c r="C621" s="28"/>
      <c r="E621" s="55"/>
      <c r="F621" s="55"/>
      <c r="K621" s="55"/>
      <c r="L621" s="55"/>
    </row>
    <row r="622">
      <c r="B622" s="28"/>
      <c r="C622" s="28"/>
      <c r="E622" s="55"/>
      <c r="F622" s="55"/>
      <c r="K622" s="55"/>
      <c r="L622" s="55"/>
    </row>
    <row r="623">
      <c r="B623" s="28"/>
      <c r="C623" s="28"/>
      <c r="E623" s="55"/>
      <c r="F623" s="55"/>
      <c r="K623" s="55"/>
      <c r="L623" s="55"/>
    </row>
    <row r="624">
      <c r="B624" s="28"/>
      <c r="C624" s="28"/>
      <c r="E624" s="55"/>
      <c r="F624" s="55"/>
      <c r="K624" s="55"/>
      <c r="L624" s="55"/>
    </row>
    <row r="625">
      <c r="B625" s="28"/>
      <c r="C625" s="28"/>
      <c r="E625" s="55"/>
      <c r="F625" s="55"/>
      <c r="K625" s="55"/>
      <c r="L625" s="55"/>
    </row>
    <row r="626">
      <c r="B626" s="28"/>
      <c r="C626" s="28"/>
      <c r="E626" s="55"/>
      <c r="F626" s="55"/>
      <c r="K626" s="55"/>
      <c r="L626" s="55"/>
    </row>
    <row r="627">
      <c r="B627" s="28"/>
      <c r="C627" s="28"/>
      <c r="E627" s="55"/>
      <c r="F627" s="55"/>
      <c r="K627" s="55"/>
      <c r="L627" s="55"/>
    </row>
    <row r="628">
      <c r="B628" s="28"/>
      <c r="C628" s="28"/>
      <c r="E628" s="55"/>
      <c r="F628" s="55"/>
      <c r="K628" s="55"/>
      <c r="L628" s="55"/>
    </row>
    <row r="629">
      <c r="B629" s="28"/>
      <c r="C629" s="28"/>
      <c r="E629" s="55"/>
      <c r="F629" s="55"/>
      <c r="K629" s="55"/>
      <c r="L629" s="55"/>
    </row>
    <row r="630">
      <c r="B630" s="28"/>
      <c r="C630" s="28"/>
      <c r="E630" s="55"/>
      <c r="F630" s="55"/>
      <c r="K630" s="55"/>
      <c r="L630" s="55"/>
    </row>
    <row r="631">
      <c r="B631" s="28"/>
      <c r="C631" s="28"/>
      <c r="E631" s="55"/>
      <c r="F631" s="55"/>
      <c r="K631" s="55"/>
      <c r="L631" s="55"/>
    </row>
    <row r="632">
      <c r="B632" s="28"/>
      <c r="C632" s="28"/>
      <c r="E632" s="55"/>
      <c r="F632" s="55"/>
      <c r="K632" s="55"/>
      <c r="L632" s="55"/>
    </row>
    <row r="633">
      <c r="B633" s="28"/>
      <c r="C633" s="28"/>
      <c r="E633" s="55"/>
      <c r="F633" s="55"/>
      <c r="K633" s="55"/>
      <c r="L633" s="55"/>
    </row>
    <row r="634">
      <c r="B634" s="28"/>
      <c r="C634" s="28"/>
      <c r="E634" s="55"/>
      <c r="F634" s="55"/>
      <c r="K634" s="55"/>
      <c r="L634" s="55"/>
    </row>
    <row r="635">
      <c r="B635" s="28"/>
      <c r="C635" s="28"/>
      <c r="E635" s="55"/>
      <c r="F635" s="55"/>
      <c r="K635" s="55"/>
      <c r="L635" s="55"/>
    </row>
    <row r="636">
      <c r="B636" s="28"/>
      <c r="C636" s="28"/>
      <c r="E636" s="55"/>
      <c r="F636" s="55"/>
      <c r="K636" s="55"/>
      <c r="L636" s="55"/>
    </row>
    <row r="637">
      <c r="B637" s="28"/>
      <c r="C637" s="28"/>
      <c r="E637" s="55"/>
      <c r="F637" s="55"/>
      <c r="K637" s="55"/>
      <c r="L637" s="55"/>
    </row>
    <row r="638">
      <c r="B638" s="28"/>
      <c r="C638" s="28"/>
      <c r="E638" s="55"/>
      <c r="F638" s="55"/>
      <c r="K638" s="55"/>
      <c r="L638" s="55"/>
    </row>
    <row r="639">
      <c r="B639" s="28"/>
      <c r="C639" s="28"/>
      <c r="E639" s="55"/>
      <c r="F639" s="55"/>
      <c r="K639" s="55"/>
      <c r="L639" s="55"/>
    </row>
    <row r="640">
      <c r="B640" s="28"/>
      <c r="C640" s="28"/>
      <c r="E640" s="55"/>
      <c r="F640" s="55"/>
      <c r="K640" s="55"/>
      <c r="L640" s="55"/>
    </row>
    <row r="641">
      <c r="B641" s="28"/>
      <c r="C641" s="28"/>
      <c r="E641" s="55"/>
      <c r="F641" s="55"/>
      <c r="K641" s="55"/>
      <c r="L641" s="55"/>
    </row>
    <row r="642">
      <c r="B642" s="28"/>
      <c r="C642" s="28"/>
      <c r="E642" s="55"/>
      <c r="F642" s="55"/>
      <c r="K642" s="55"/>
      <c r="L642" s="55"/>
    </row>
    <row r="643">
      <c r="B643" s="28"/>
      <c r="C643" s="28"/>
      <c r="E643" s="55"/>
      <c r="F643" s="55"/>
      <c r="K643" s="55"/>
      <c r="L643" s="55"/>
    </row>
    <row r="644">
      <c r="B644" s="28"/>
      <c r="C644" s="28"/>
      <c r="E644" s="55"/>
      <c r="F644" s="55"/>
      <c r="K644" s="55"/>
      <c r="L644" s="55"/>
    </row>
    <row r="645">
      <c r="B645" s="28"/>
      <c r="C645" s="28"/>
      <c r="E645" s="55"/>
      <c r="F645" s="55"/>
      <c r="K645" s="55"/>
      <c r="L645" s="55"/>
    </row>
    <row r="646">
      <c r="B646" s="28"/>
      <c r="C646" s="28"/>
      <c r="E646" s="55"/>
      <c r="F646" s="55"/>
      <c r="K646" s="55"/>
      <c r="L646" s="55"/>
    </row>
    <row r="647">
      <c r="B647" s="28"/>
      <c r="C647" s="28"/>
      <c r="E647" s="55"/>
      <c r="F647" s="55"/>
      <c r="K647" s="55"/>
      <c r="L647" s="55"/>
    </row>
    <row r="648">
      <c r="B648" s="28"/>
      <c r="C648" s="28"/>
      <c r="E648" s="55"/>
      <c r="F648" s="55"/>
      <c r="K648" s="55"/>
      <c r="L648" s="55"/>
    </row>
    <row r="649">
      <c r="B649" s="28"/>
      <c r="C649" s="28"/>
      <c r="E649" s="55"/>
      <c r="F649" s="55"/>
      <c r="K649" s="55"/>
      <c r="L649" s="55"/>
    </row>
    <row r="650">
      <c r="B650" s="28"/>
      <c r="C650" s="28"/>
      <c r="E650" s="55"/>
      <c r="F650" s="55"/>
      <c r="K650" s="55"/>
      <c r="L650" s="55"/>
    </row>
    <row r="651">
      <c r="B651" s="28"/>
      <c r="C651" s="28"/>
      <c r="E651" s="55"/>
      <c r="F651" s="55"/>
      <c r="K651" s="55"/>
      <c r="L651" s="55"/>
    </row>
    <row r="652">
      <c r="B652" s="28"/>
      <c r="C652" s="28"/>
      <c r="E652" s="55"/>
      <c r="F652" s="55"/>
      <c r="K652" s="55"/>
      <c r="L652" s="55"/>
    </row>
    <row r="653">
      <c r="B653" s="28"/>
      <c r="C653" s="28"/>
      <c r="E653" s="55"/>
      <c r="F653" s="55"/>
      <c r="K653" s="55"/>
      <c r="L653" s="55"/>
    </row>
    <row r="654">
      <c r="B654" s="28"/>
      <c r="C654" s="28"/>
      <c r="E654" s="55"/>
      <c r="F654" s="55"/>
      <c r="K654" s="55"/>
      <c r="L654" s="55"/>
    </row>
    <row r="655">
      <c r="B655" s="28"/>
      <c r="C655" s="28"/>
      <c r="E655" s="55"/>
      <c r="F655" s="55"/>
      <c r="K655" s="55"/>
      <c r="L655" s="55"/>
    </row>
    <row r="656">
      <c r="B656" s="28"/>
      <c r="C656" s="28"/>
      <c r="E656" s="55"/>
      <c r="F656" s="55"/>
      <c r="K656" s="55"/>
      <c r="L656" s="55"/>
    </row>
    <row r="657">
      <c r="B657" s="28"/>
      <c r="C657" s="28"/>
      <c r="E657" s="55"/>
      <c r="F657" s="55"/>
      <c r="K657" s="55"/>
      <c r="L657" s="55"/>
    </row>
    <row r="658">
      <c r="B658" s="28"/>
      <c r="C658" s="28"/>
      <c r="E658" s="55"/>
      <c r="F658" s="55"/>
      <c r="K658" s="55"/>
      <c r="L658" s="55"/>
    </row>
    <row r="659">
      <c r="B659" s="28"/>
      <c r="C659" s="28"/>
      <c r="E659" s="55"/>
      <c r="F659" s="55"/>
      <c r="K659" s="55"/>
      <c r="L659" s="55"/>
    </row>
    <row r="660">
      <c r="B660" s="28"/>
      <c r="C660" s="28"/>
      <c r="E660" s="55"/>
      <c r="F660" s="55"/>
      <c r="K660" s="55"/>
      <c r="L660" s="55"/>
    </row>
    <row r="661">
      <c r="B661" s="28"/>
      <c r="C661" s="28"/>
      <c r="E661" s="55"/>
      <c r="F661" s="55"/>
      <c r="K661" s="55"/>
      <c r="L661" s="55"/>
    </row>
    <row r="662">
      <c r="B662" s="28"/>
      <c r="C662" s="28"/>
      <c r="E662" s="55"/>
      <c r="F662" s="55"/>
      <c r="K662" s="55"/>
      <c r="L662" s="55"/>
    </row>
    <row r="663">
      <c r="B663" s="28"/>
      <c r="C663" s="28"/>
      <c r="E663" s="55"/>
      <c r="F663" s="55"/>
      <c r="K663" s="55"/>
      <c r="L663" s="55"/>
    </row>
    <row r="664">
      <c r="B664" s="28"/>
      <c r="C664" s="28"/>
      <c r="E664" s="55"/>
      <c r="F664" s="55"/>
      <c r="K664" s="55"/>
      <c r="L664" s="55"/>
    </row>
    <row r="665">
      <c r="B665" s="28"/>
      <c r="C665" s="28"/>
      <c r="E665" s="55"/>
      <c r="F665" s="55"/>
      <c r="K665" s="55"/>
      <c r="L665" s="55"/>
    </row>
    <row r="666">
      <c r="B666" s="28"/>
      <c r="C666" s="28"/>
      <c r="E666" s="55"/>
      <c r="F666" s="55"/>
      <c r="K666" s="55"/>
      <c r="L666" s="55"/>
    </row>
    <row r="667">
      <c r="B667" s="28"/>
      <c r="C667" s="28"/>
      <c r="E667" s="55"/>
      <c r="F667" s="55"/>
      <c r="K667" s="55"/>
      <c r="L667" s="55"/>
    </row>
    <row r="668">
      <c r="B668" s="28"/>
      <c r="C668" s="28"/>
      <c r="E668" s="55"/>
      <c r="F668" s="55"/>
      <c r="K668" s="55"/>
      <c r="L668" s="55"/>
    </row>
    <row r="669">
      <c r="B669" s="28"/>
      <c r="C669" s="28"/>
      <c r="E669" s="55"/>
      <c r="F669" s="55"/>
      <c r="K669" s="55"/>
      <c r="L669" s="55"/>
    </row>
    <row r="670">
      <c r="B670" s="28"/>
      <c r="C670" s="28"/>
      <c r="E670" s="55"/>
      <c r="F670" s="55"/>
      <c r="K670" s="55"/>
      <c r="L670" s="55"/>
    </row>
    <row r="671">
      <c r="B671" s="28"/>
      <c r="C671" s="28"/>
      <c r="E671" s="55"/>
      <c r="F671" s="55"/>
      <c r="K671" s="55"/>
      <c r="L671" s="55"/>
    </row>
    <row r="672">
      <c r="B672" s="28"/>
      <c r="C672" s="28"/>
      <c r="E672" s="55"/>
      <c r="F672" s="55"/>
      <c r="K672" s="55"/>
      <c r="L672" s="55"/>
    </row>
    <row r="673">
      <c r="B673" s="28"/>
      <c r="C673" s="28"/>
      <c r="E673" s="55"/>
      <c r="F673" s="55"/>
      <c r="K673" s="55"/>
      <c r="L673" s="55"/>
    </row>
    <row r="674">
      <c r="B674" s="28"/>
      <c r="C674" s="28"/>
      <c r="E674" s="55"/>
      <c r="F674" s="55"/>
      <c r="K674" s="55"/>
      <c r="L674" s="55"/>
    </row>
    <row r="675">
      <c r="B675" s="28"/>
      <c r="C675" s="28"/>
      <c r="E675" s="55"/>
      <c r="F675" s="55"/>
      <c r="K675" s="55"/>
      <c r="L675" s="55"/>
    </row>
    <row r="676">
      <c r="B676" s="28"/>
      <c r="C676" s="28"/>
      <c r="E676" s="55"/>
      <c r="F676" s="55"/>
      <c r="K676" s="55"/>
      <c r="L676" s="55"/>
    </row>
    <row r="677">
      <c r="B677" s="28"/>
      <c r="C677" s="28"/>
      <c r="E677" s="55"/>
      <c r="F677" s="55"/>
      <c r="K677" s="55"/>
      <c r="L677" s="55"/>
    </row>
    <row r="678">
      <c r="B678" s="28"/>
      <c r="C678" s="28"/>
      <c r="E678" s="55"/>
      <c r="F678" s="55"/>
      <c r="K678" s="55"/>
      <c r="L678" s="55"/>
    </row>
    <row r="679">
      <c r="B679" s="28"/>
      <c r="C679" s="28"/>
      <c r="E679" s="55"/>
      <c r="F679" s="55"/>
      <c r="K679" s="55"/>
      <c r="L679" s="55"/>
    </row>
    <row r="680">
      <c r="B680" s="28"/>
      <c r="C680" s="28"/>
      <c r="E680" s="55"/>
      <c r="F680" s="55"/>
      <c r="K680" s="55"/>
      <c r="L680" s="55"/>
    </row>
    <row r="681">
      <c r="B681" s="28"/>
      <c r="C681" s="28"/>
      <c r="E681" s="55"/>
      <c r="F681" s="55"/>
      <c r="K681" s="55"/>
      <c r="L681" s="55"/>
    </row>
    <row r="682">
      <c r="B682" s="28"/>
      <c r="C682" s="28"/>
      <c r="E682" s="55"/>
      <c r="F682" s="55"/>
      <c r="K682" s="55"/>
      <c r="L682" s="55"/>
    </row>
    <row r="683">
      <c r="B683" s="28"/>
      <c r="C683" s="28"/>
      <c r="E683" s="55"/>
      <c r="F683" s="55"/>
      <c r="K683" s="55"/>
      <c r="L683" s="55"/>
    </row>
    <row r="684">
      <c r="B684" s="28"/>
      <c r="C684" s="28"/>
      <c r="E684" s="55"/>
      <c r="F684" s="55"/>
      <c r="K684" s="55"/>
      <c r="L684" s="55"/>
    </row>
    <row r="685">
      <c r="B685" s="28"/>
      <c r="C685" s="28"/>
      <c r="E685" s="55"/>
      <c r="F685" s="55"/>
      <c r="K685" s="55"/>
      <c r="L685" s="55"/>
    </row>
    <row r="686">
      <c r="B686" s="28"/>
      <c r="C686" s="28"/>
      <c r="E686" s="55"/>
      <c r="F686" s="55"/>
      <c r="K686" s="55"/>
      <c r="L686" s="55"/>
    </row>
    <row r="687">
      <c r="B687" s="28"/>
      <c r="C687" s="28"/>
      <c r="E687" s="55"/>
      <c r="F687" s="55"/>
      <c r="K687" s="55"/>
      <c r="L687" s="55"/>
    </row>
    <row r="688">
      <c r="B688" s="28"/>
      <c r="C688" s="28"/>
      <c r="E688" s="55"/>
      <c r="F688" s="55"/>
      <c r="K688" s="55"/>
      <c r="L688" s="55"/>
    </row>
    <row r="689">
      <c r="B689" s="28"/>
      <c r="C689" s="28"/>
      <c r="E689" s="55"/>
      <c r="F689" s="55"/>
      <c r="K689" s="55"/>
      <c r="L689" s="55"/>
    </row>
    <row r="690">
      <c r="B690" s="28"/>
      <c r="C690" s="28"/>
      <c r="E690" s="55"/>
      <c r="F690" s="55"/>
      <c r="K690" s="55"/>
      <c r="L690" s="55"/>
    </row>
    <row r="691">
      <c r="B691" s="28"/>
      <c r="C691" s="28"/>
      <c r="E691" s="55"/>
      <c r="F691" s="55"/>
      <c r="K691" s="55"/>
      <c r="L691" s="55"/>
    </row>
    <row r="692">
      <c r="B692" s="28"/>
      <c r="C692" s="28"/>
      <c r="E692" s="55"/>
      <c r="F692" s="55"/>
      <c r="K692" s="55"/>
      <c r="L692" s="55"/>
    </row>
    <row r="693">
      <c r="B693" s="28"/>
      <c r="C693" s="28"/>
      <c r="E693" s="55"/>
      <c r="F693" s="55"/>
      <c r="K693" s="55"/>
      <c r="L693" s="55"/>
    </row>
    <row r="694">
      <c r="B694" s="28"/>
      <c r="C694" s="28"/>
      <c r="E694" s="55"/>
      <c r="F694" s="55"/>
      <c r="K694" s="55"/>
      <c r="L694" s="55"/>
    </row>
    <row r="695">
      <c r="B695" s="28"/>
      <c r="C695" s="28"/>
      <c r="E695" s="55"/>
      <c r="F695" s="55"/>
      <c r="K695" s="55"/>
      <c r="L695" s="55"/>
    </row>
    <row r="696">
      <c r="B696" s="28"/>
      <c r="C696" s="28"/>
      <c r="E696" s="55"/>
      <c r="F696" s="55"/>
      <c r="K696" s="55"/>
      <c r="L696" s="55"/>
    </row>
    <row r="697">
      <c r="B697" s="28"/>
      <c r="C697" s="28"/>
      <c r="E697" s="55"/>
      <c r="F697" s="55"/>
      <c r="K697" s="55"/>
      <c r="L697" s="55"/>
    </row>
    <row r="698">
      <c r="B698" s="28"/>
      <c r="C698" s="28"/>
      <c r="E698" s="55"/>
      <c r="F698" s="55"/>
      <c r="K698" s="55"/>
      <c r="L698" s="55"/>
    </row>
    <row r="699">
      <c r="B699" s="28"/>
      <c r="C699" s="28"/>
      <c r="E699" s="55"/>
      <c r="F699" s="55"/>
      <c r="K699" s="55"/>
      <c r="L699" s="55"/>
    </row>
    <row r="700">
      <c r="B700" s="28"/>
      <c r="C700" s="28"/>
      <c r="E700" s="55"/>
      <c r="F700" s="55"/>
      <c r="K700" s="55"/>
      <c r="L700" s="55"/>
    </row>
    <row r="701">
      <c r="B701" s="28"/>
      <c r="C701" s="28"/>
      <c r="E701" s="55"/>
      <c r="F701" s="55"/>
      <c r="K701" s="55"/>
      <c r="L701" s="55"/>
    </row>
    <row r="702">
      <c r="B702" s="28"/>
      <c r="C702" s="28"/>
      <c r="E702" s="55"/>
      <c r="F702" s="55"/>
      <c r="K702" s="55"/>
      <c r="L702" s="55"/>
    </row>
    <row r="703">
      <c r="B703" s="28"/>
      <c r="C703" s="28"/>
      <c r="E703" s="55"/>
      <c r="F703" s="55"/>
      <c r="K703" s="55"/>
      <c r="L703" s="55"/>
    </row>
    <row r="704">
      <c r="B704" s="28"/>
      <c r="C704" s="28"/>
      <c r="E704" s="55"/>
      <c r="F704" s="55"/>
      <c r="K704" s="55"/>
      <c r="L704" s="55"/>
    </row>
    <row r="705">
      <c r="B705" s="28"/>
      <c r="C705" s="28"/>
      <c r="E705" s="55"/>
      <c r="F705" s="55"/>
      <c r="K705" s="55"/>
      <c r="L705" s="55"/>
    </row>
    <row r="706">
      <c r="B706" s="28"/>
      <c r="C706" s="28"/>
      <c r="E706" s="55"/>
      <c r="F706" s="55"/>
      <c r="K706" s="55"/>
      <c r="L706" s="55"/>
    </row>
    <row r="707">
      <c r="B707" s="28"/>
      <c r="C707" s="28"/>
      <c r="E707" s="55"/>
      <c r="F707" s="55"/>
      <c r="K707" s="55"/>
      <c r="L707" s="55"/>
    </row>
    <row r="708">
      <c r="B708" s="28"/>
      <c r="C708" s="28"/>
      <c r="E708" s="55"/>
      <c r="F708" s="55"/>
      <c r="K708" s="55"/>
      <c r="L708" s="55"/>
    </row>
    <row r="709">
      <c r="B709" s="28"/>
      <c r="C709" s="28"/>
      <c r="E709" s="55"/>
      <c r="F709" s="55"/>
      <c r="K709" s="55"/>
      <c r="L709" s="55"/>
    </row>
    <row r="710">
      <c r="B710" s="28"/>
      <c r="C710" s="28"/>
      <c r="E710" s="55"/>
      <c r="F710" s="55"/>
      <c r="K710" s="55"/>
      <c r="L710" s="55"/>
    </row>
    <row r="711">
      <c r="B711" s="28"/>
      <c r="C711" s="28"/>
      <c r="E711" s="55"/>
      <c r="F711" s="55"/>
      <c r="K711" s="55"/>
      <c r="L711" s="55"/>
    </row>
    <row r="712">
      <c r="B712" s="28"/>
      <c r="C712" s="28"/>
      <c r="E712" s="55"/>
      <c r="F712" s="55"/>
      <c r="K712" s="55"/>
      <c r="L712" s="55"/>
    </row>
    <row r="713">
      <c r="B713" s="28"/>
      <c r="C713" s="28"/>
      <c r="E713" s="55"/>
      <c r="F713" s="55"/>
      <c r="K713" s="55"/>
      <c r="L713" s="55"/>
    </row>
    <row r="714">
      <c r="B714" s="28"/>
      <c r="C714" s="28"/>
      <c r="E714" s="55"/>
      <c r="F714" s="55"/>
      <c r="K714" s="55"/>
      <c r="L714" s="55"/>
    </row>
    <row r="715">
      <c r="B715" s="28"/>
      <c r="C715" s="28"/>
      <c r="E715" s="55"/>
      <c r="F715" s="55"/>
      <c r="K715" s="55"/>
      <c r="L715" s="55"/>
    </row>
    <row r="716">
      <c r="B716" s="28"/>
      <c r="C716" s="28"/>
      <c r="E716" s="55"/>
      <c r="F716" s="55"/>
      <c r="K716" s="55"/>
      <c r="L716" s="55"/>
    </row>
    <row r="717">
      <c r="B717" s="28"/>
      <c r="C717" s="28"/>
      <c r="E717" s="55"/>
      <c r="F717" s="55"/>
      <c r="K717" s="55"/>
      <c r="L717" s="55"/>
    </row>
    <row r="718">
      <c r="B718" s="28"/>
      <c r="C718" s="28"/>
      <c r="E718" s="55"/>
      <c r="F718" s="55"/>
      <c r="K718" s="55"/>
      <c r="L718" s="55"/>
    </row>
    <row r="719">
      <c r="B719" s="28"/>
      <c r="C719" s="28"/>
      <c r="E719" s="55"/>
      <c r="F719" s="55"/>
      <c r="K719" s="55"/>
      <c r="L719" s="55"/>
    </row>
    <row r="720">
      <c r="B720" s="28"/>
      <c r="C720" s="28"/>
      <c r="E720" s="55"/>
      <c r="F720" s="55"/>
      <c r="K720" s="55"/>
      <c r="L720" s="55"/>
    </row>
    <row r="721">
      <c r="B721" s="28"/>
      <c r="C721" s="28"/>
      <c r="E721" s="55"/>
      <c r="F721" s="55"/>
      <c r="K721" s="55"/>
      <c r="L721" s="55"/>
    </row>
    <row r="722">
      <c r="B722" s="28"/>
      <c r="C722" s="28"/>
      <c r="E722" s="55"/>
      <c r="F722" s="55"/>
      <c r="K722" s="55"/>
      <c r="L722" s="55"/>
    </row>
    <row r="723">
      <c r="B723" s="28"/>
      <c r="C723" s="28"/>
      <c r="E723" s="55"/>
      <c r="F723" s="55"/>
      <c r="K723" s="55"/>
      <c r="L723" s="55"/>
    </row>
    <row r="724">
      <c r="B724" s="28"/>
      <c r="C724" s="28"/>
      <c r="E724" s="55"/>
      <c r="F724" s="55"/>
      <c r="K724" s="55"/>
      <c r="L724" s="55"/>
    </row>
    <row r="725">
      <c r="B725" s="28"/>
      <c r="C725" s="28"/>
      <c r="E725" s="55"/>
      <c r="F725" s="55"/>
      <c r="K725" s="55"/>
      <c r="L725" s="55"/>
    </row>
    <row r="726">
      <c r="B726" s="28"/>
      <c r="C726" s="28"/>
      <c r="E726" s="55"/>
      <c r="F726" s="55"/>
      <c r="K726" s="55"/>
      <c r="L726" s="55"/>
    </row>
    <row r="727">
      <c r="B727" s="28"/>
      <c r="C727" s="28"/>
      <c r="E727" s="55"/>
      <c r="F727" s="55"/>
      <c r="K727" s="55"/>
      <c r="L727" s="55"/>
    </row>
    <row r="728">
      <c r="B728" s="28"/>
      <c r="C728" s="28"/>
      <c r="E728" s="55"/>
      <c r="F728" s="55"/>
      <c r="K728" s="55"/>
      <c r="L728" s="55"/>
    </row>
    <row r="729">
      <c r="B729" s="28"/>
      <c r="C729" s="28"/>
      <c r="E729" s="55"/>
      <c r="F729" s="55"/>
      <c r="K729" s="55"/>
      <c r="L729" s="55"/>
    </row>
    <row r="730">
      <c r="B730" s="28"/>
      <c r="C730" s="28"/>
      <c r="E730" s="55"/>
      <c r="F730" s="55"/>
      <c r="K730" s="55"/>
      <c r="L730" s="55"/>
    </row>
    <row r="731">
      <c r="B731" s="28"/>
      <c r="C731" s="28"/>
      <c r="E731" s="55"/>
      <c r="F731" s="55"/>
      <c r="K731" s="55"/>
      <c r="L731" s="55"/>
    </row>
    <row r="732">
      <c r="B732" s="28"/>
      <c r="C732" s="28"/>
      <c r="E732" s="55"/>
      <c r="F732" s="55"/>
      <c r="K732" s="55"/>
      <c r="L732" s="55"/>
    </row>
    <row r="733">
      <c r="B733" s="28"/>
      <c r="C733" s="28"/>
      <c r="E733" s="55"/>
      <c r="F733" s="55"/>
      <c r="K733" s="55"/>
      <c r="L733" s="55"/>
    </row>
    <row r="734">
      <c r="B734" s="28"/>
      <c r="C734" s="28"/>
      <c r="E734" s="55"/>
      <c r="F734" s="55"/>
      <c r="K734" s="55"/>
      <c r="L734" s="55"/>
    </row>
    <row r="735">
      <c r="B735" s="28"/>
      <c r="C735" s="28"/>
      <c r="E735" s="55"/>
      <c r="F735" s="55"/>
      <c r="K735" s="55"/>
      <c r="L735" s="55"/>
    </row>
    <row r="736">
      <c r="B736" s="28"/>
      <c r="C736" s="28"/>
      <c r="E736" s="55"/>
      <c r="F736" s="55"/>
      <c r="K736" s="55"/>
      <c r="L736" s="55"/>
    </row>
    <row r="737">
      <c r="B737" s="28"/>
      <c r="C737" s="28"/>
      <c r="E737" s="55"/>
      <c r="F737" s="55"/>
      <c r="K737" s="55"/>
      <c r="L737" s="55"/>
    </row>
    <row r="738">
      <c r="B738" s="28"/>
      <c r="C738" s="28"/>
      <c r="E738" s="55"/>
      <c r="F738" s="55"/>
      <c r="K738" s="55"/>
      <c r="L738" s="55"/>
    </row>
    <row r="739">
      <c r="B739" s="28"/>
      <c r="C739" s="28"/>
      <c r="E739" s="55"/>
      <c r="F739" s="55"/>
      <c r="K739" s="55"/>
      <c r="L739" s="55"/>
    </row>
    <row r="740">
      <c r="B740" s="28"/>
      <c r="C740" s="28"/>
      <c r="E740" s="55"/>
      <c r="F740" s="55"/>
      <c r="K740" s="55"/>
      <c r="L740" s="55"/>
    </row>
    <row r="741">
      <c r="B741" s="28"/>
      <c r="C741" s="28"/>
      <c r="E741" s="55"/>
      <c r="F741" s="55"/>
      <c r="K741" s="55"/>
      <c r="L741" s="55"/>
    </row>
    <row r="742">
      <c r="B742" s="28"/>
      <c r="C742" s="28"/>
      <c r="E742" s="55"/>
      <c r="F742" s="55"/>
      <c r="K742" s="55"/>
      <c r="L742" s="55"/>
    </row>
    <row r="743">
      <c r="B743" s="28"/>
      <c r="C743" s="28"/>
      <c r="E743" s="55"/>
      <c r="F743" s="55"/>
      <c r="K743" s="55"/>
      <c r="L743" s="55"/>
    </row>
    <row r="744">
      <c r="B744" s="28"/>
      <c r="C744" s="28"/>
      <c r="E744" s="55"/>
      <c r="F744" s="55"/>
      <c r="K744" s="55"/>
      <c r="L744" s="55"/>
    </row>
    <row r="745">
      <c r="B745" s="28"/>
      <c r="C745" s="28"/>
      <c r="E745" s="55"/>
      <c r="F745" s="55"/>
      <c r="K745" s="55"/>
      <c r="L745" s="55"/>
    </row>
    <row r="746">
      <c r="B746" s="28"/>
      <c r="C746" s="28"/>
      <c r="E746" s="55"/>
      <c r="F746" s="55"/>
      <c r="K746" s="55"/>
      <c r="L746" s="55"/>
    </row>
    <row r="747">
      <c r="B747" s="28"/>
      <c r="C747" s="28"/>
      <c r="E747" s="55"/>
      <c r="F747" s="55"/>
      <c r="K747" s="55"/>
      <c r="L747" s="55"/>
    </row>
    <row r="748">
      <c r="B748" s="28"/>
      <c r="C748" s="28"/>
      <c r="E748" s="55"/>
      <c r="F748" s="55"/>
      <c r="K748" s="55"/>
      <c r="L748" s="55"/>
    </row>
    <row r="749">
      <c r="B749" s="28"/>
      <c r="C749" s="28"/>
      <c r="E749" s="55"/>
      <c r="F749" s="55"/>
      <c r="K749" s="55"/>
      <c r="L749" s="55"/>
    </row>
    <row r="750">
      <c r="B750" s="28"/>
      <c r="C750" s="28"/>
      <c r="E750" s="55"/>
      <c r="F750" s="55"/>
      <c r="K750" s="55"/>
      <c r="L750" s="55"/>
    </row>
    <row r="751">
      <c r="B751" s="28"/>
      <c r="C751" s="28"/>
      <c r="E751" s="55"/>
      <c r="F751" s="55"/>
      <c r="K751" s="55"/>
      <c r="L751" s="55"/>
    </row>
    <row r="752">
      <c r="B752" s="28"/>
      <c r="C752" s="28"/>
      <c r="E752" s="55"/>
      <c r="F752" s="55"/>
      <c r="K752" s="55"/>
      <c r="L752" s="55"/>
    </row>
    <row r="753">
      <c r="B753" s="28"/>
      <c r="C753" s="28"/>
      <c r="E753" s="55"/>
      <c r="F753" s="55"/>
      <c r="K753" s="55"/>
      <c r="L753" s="55"/>
    </row>
    <row r="754">
      <c r="B754" s="28"/>
      <c r="C754" s="28"/>
      <c r="E754" s="55"/>
      <c r="F754" s="55"/>
      <c r="K754" s="55"/>
      <c r="L754" s="55"/>
    </row>
    <row r="755">
      <c r="B755" s="28"/>
      <c r="C755" s="28"/>
      <c r="E755" s="55"/>
      <c r="F755" s="55"/>
      <c r="K755" s="55"/>
      <c r="L755" s="55"/>
    </row>
    <row r="756">
      <c r="B756" s="28"/>
      <c r="C756" s="28"/>
      <c r="E756" s="55"/>
      <c r="F756" s="55"/>
      <c r="K756" s="55"/>
      <c r="L756" s="55"/>
    </row>
    <row r="757">
      <c r="B757" s="28"/>
      <c r="C757" s="28"/>
      <c r="E757" s="55"/>
      <c r="F757" s="55"/>
      <c r="K757" s="55"/>
      <c r="L757" s="55"/>
    </row>
    <row r="758">
      <c r="B758" s="28"/>
      <c r="C758" s="28"/>
      <c r="E758" s="55"/>
      <c r="F758" s="55"/>
      <c r="K758" s="55"/>
      <c r="L758" s="55"/>
    </row>
    <row r="759">
      <c r="B759" s="28"/>
      <c r="C759" s="28"/>
      <c r="E759" s="55"/>
      <c r="F759" s="55"/>
      <c r="K759" s="55"/>
      <c r="L759" s="55"/>
    </row>
    <row r="760">
      <c r="B760" s="28"/>
      <c r="C760" s="28"/>
      <c r="E760" s="55"/>
      <c r="F760" s="55"/>
      <c r="K760" s="55"/>
      <c r="L760" s="55"/>
    </row>
    <row r="761">
      <c r="B761" s="28"/>
      <c r="C761" s="28"/>
      <c r="E761" s="55"/>
      <c r="F761" s="55"/>
      <c r="K761" s="55"/>
      <c r="L761" s="55"/>
    </row>
    <row r="762">
      <c r="B762" s="28"/>
      <c r="C762" s="28"/>
      <c r="E762" s="55"/>
      <c r="F762" s="55"/>
      <c r="K762" s="55"/>
      <c r="L762" s="55"/>
    </row>
    <row r="763">
      <c r="B763" s="28"/>
      <c r="C763" s="28"/>
      <c r="E763" s="55"/>
      <c r="F763" s="55"/>
      <c r="K763" s="55"/>
      <c r="L763" s="55"/>
    </row>
    <row r="764">
      <c r="B764" s="28"/>
      <c r="C764" s="28"/>
      <c r="E764" s="55"/>
      <c r="F764" s="55"/>
      <c r="K764" s="55"/>
      <c r="L764" s="55"/>
    </row>
    <row r="765">
      <c r="B765" s="28"/>
      <c r="C765" s="28"/>
      <c r="E765" s="55"/>
      <c r="F765" s="55"/>
      <c r="K765" s="55"/>
      <c r="L765" s="55"/>
    </row>
    <row r="766">
      <c r="B766" s="28"/>
      <c r="C766" s="28"/>
      <c r="E766" s="55"/>
      <c r="F766" s="55"/>
      <c r="K766" s="55"/>
      <c r="L766" s="55"/>
    </row>
    <row r="767">
      <c r="B767" s="28"/>
      <c r="C767" s="28"/>
      <c r="E767" s="55"/>
      <c r="F767" s="55"/>
      <c r="K767" s="55"/>
      <c r="L767" s="55"/>
    </row>
    <row r="768">
      <c r="B768" s="28"/>
      <c r="C768" s="28"/>
      <c r="E768" s="55"/>
      <c r="F768" s="55"/>
      <c r="K768" s="55"/>
      <c r="L768" s="55"/>
    </row>
    <row r="769">
      <c r="B769" s="28"/>
      <c r="C769" s="28"/>
      <c r="E769" s="55"/>
      <c r="F769" s="55"/>
      <c r="K769" s="55"/>
      <c r="L769" s="55"/>
    </row>
    <row r="770">
      <c r="B770" s="28"/>
      <c r="C770" s="28"/>
      <c r="E770" s="55"/>
      <c r="F770" s="55"/>
      <c r="K770" s="55"/>
      <c r="L770" s="55"/>
    </row>
    <row r="771">
      <c r="B771" s="28"/>
      <c r="C771" s="28"/>
      <c r="E771" s="55"/>
      <c r="F771" s="55"/>
      <c r="K771" s="55"/>
      <c r="L771" s="55"/>
    </row>
    <row r="772">
      <c r="B772" s="28"/>
      <c r="C772" s="28"/>
      <c r="E772" s="55"/>
      <c r="F772" s="55"/>
      <c r="K772" s="55"/>
      <c r="L772" s="55"/>
    </row>
    <row r="773">
      <c r="B773" s="28"/>
      <c r="C773" s="28"/>
      <c r="E773" s="55"/>
      <c r="F773" s="55"/>
      <c r="K773" s="55"/>
      <c r="L773" s="55"/>
    </row>
    <row r="774">
      <c r="B774" s="28"/>
      <c r="C774" s="28"/>
      <c r="E774" s="55"/>
      <c r="F774" s="55"/>
      <c r="K774" s="55"/>
      <c r="L774" s="55"/>
    </row>
    <row r="775">
      <c r="B775" s="28"/>
      <c r="C775" s="28"/>
      <c r="E775" s="55"/>
      <c r="F775" s="55"/>
      <c r="K775" s="55"/>
      <c r="L775" s="55"/>
    </row>
    <row r="776">
      <c r="B776" s="28"/>
      <c r="C776" s="28"/>
      <c r="E776" s="55"/>
      <c r="F776" s="55"/>
      <c r="K776" s="55"/>
      <c r="L776" s="55"/>
    </row>
    <row r="777">
      <c r="B777" s="28"/>
      <c r="C777" s="28"/>
      <c r="E777" s="55"/>
      <c r="F777" s="55"/>
      <c r="K777" s="55"/>
      <c r="L777" s="55"/>
    </row>
    <row r="778">
      <c r="B778" s="28"/>
      <c r="C778" s="28"/>
      <c r="E778" s="55"/>
      <c r="F778" s="55"/>
      <c r="K778" s="55"/>
      <c r="L778" s="55"/>
    </row>
    <row r="779">
      <c r="B779" s="28"/>
      <c r="C779" s="28"/>
      <c r="E779" s="55"/>
      <c r="F779" s="55"/>
      <c r="K779" s="55"/>
      <c r="L779" s="55"/>
    </row>
    <row r="780">
      <c r="B780" s="28"/>
      <c r="C780" s="28"/>
      <c r="E780" s="55"/>
      <c r="F780" s="55"/>
      <c r="K780" s="55"/>
      <c r="L780" s="55"/>
    </row>
    <row r="781">
      <c r="B781" s="28"/>
      <c r="C781" s="28"/>
      <c r="E781" s="55"/>
      <c r="F781" s="55"/>
      <c r="K781" s="55"/>
      <c r="L781" s="55"/>
    </row>
    <row r="782">
      <c r="B782" s="28"/>
      <c r="C782" s="28"/>
      <c r="E782" s="55"/>
      <c r="F782" s="55"/>
      <c r="K782" s="55"/>
      <c r="L782" s="55"/>
    </row>
    <row r="783">
      <c r="B783" s="28"/>
      <c r="C783" s="28"/>
      <c r="E783" s="55"/>
      <c r="F783" s="55"/>
      <c r="K783" s="55"/>
      <c r="L783" s="55"/>
    </row>
    <row r="784">
      <c r="B784" s="28"/>
      <c r="C784" s="28"/>
      <c r="E784" s="55"/>
      <c r="F784" s="55"/>
      <c r="K784" s="55"/>
      <c r="L784" s="55"/>
    </row>
    <row r="785">
      <c r="B785" s="28"/>
      <c r="C785" s="28"/>
      <c r="E785" s="55"/>
      <c r="F785" s="55"/>
      <c r="K785" s="55"/>
      <c r="L785" s="55"/>
    </row>
    <row r="786">
      <c r="B786" s="28"/>
      <c r="C786" s="28"/>
      <c r="E786" s="55"/>
      <c r="F786" s="55"/>
      <c r="K786" s="55"/>
      <c r="L786" s="55"/>
    </row>
    <row r="787">
      <c r="B787" s="28"/>
      <c r="C787" s="28"/>
      <c r="E787" s="55"/>
      <c r="F787" s="55"/>
      <c r="K787" s="55"/>
      <c r="L787" s="55"/>
    </row>
    <row r="788">
      <c r="B788" s="28"/>
      <c r="C788" s="28"/>
      <c r="E788" s="55"/>
      <c r="F788" s="55"/>
      <c r="K788" s="55"/>
      <c r="L788" s="55"/>
    </row>
    <row r="789">
      <c r="B789" s="28"/>
      <c r="C789" s="28"/>
      <c r="E789" s="55"/>
      <c r="F789" s="55"/>
      <c r="K789" s="55"/>
      <c r="L789" s="55"/>
    </row>
    <row r="790">
      <c r="B790" s="28"/>
      <c r="C790" s="28"/>
      <c r="E790" s="55"/>
      <c r="F790" s="55"/>
      <c r="K790" s="55"/>
      <c r="L790" s="55"/>
    </row>
    <row r="791">
      <c r="B791" s="28"/>
      <c r="C791" s="28"/>
      <c r="E791" s="55"/>
      <c r="F791" s="55"/>
      <c r="K791" s="55"/>
      <c r="L791" s="55"/>
    </row>
    <row r="792">
      <c r="B792" s="28"/>
      <c r="C792" s="28"/>
      <c r="E792" s="55"/>
      <c r="F792" s="55"/>
      <c r="K792" s="55"/>
      <c r="L792" s="55"/>
    </row>
    <row r="793">
      <c r="B793" s="28"/>
      <c r="C793" s="28"/>
      <c r="E793" s="55"/>
      <c r="F793" s="55"/>
      <c r="K793" s="55"/>
      <c r="L793" s="55"/>
    </row>
    <row r="794">
      <c r="B794" s="28"/>
      <c r="C794" s="28"/>
      <c r="E794" s="55"/>
      <c r="F794" s="55"/>
      <c r="K794" s="55"/>
      <c r="L794" s="55"/>
    </row>
    <row r="795">
      <c r="B795" s="28"/>
      <c r="C795" s="28"/>
      <c r="E795" s="55"/>
      <c r="F795" s="55"/>
      <c r="K795" s="55"/>
      <c r="L795" s="55"/>
    </row>
    <row r="796">
      <c r="B796" s="28"/>
      <c r="C796" s="28"/>
      <c r="E796" s="55"/>
      <c r="F796" s="55"/>
      <c r="K796" s="55"/>
      <c r="L796" s="55"/>
    </row>
    <row r="797">
      <c r="B797" s="28"/>
      <c r="C797" s="28"/>
      <c r="E797" s="55"/>
      <c r="F797" s="55"/>
      <c r="K797" s="55"/>
      <c r="L797" s="55"/>
    </row>
    <row r="798">
      <c r="B798" s="28"/>
      <c r="C798" s="28"/>
      <c r="E798" s="55"/>
      <c r="F798" s="55"/>
      <c r="K798" s="55"/>
      <c r="L798" s="55"/>
    </row>
    <row r="799">
      <c r="B799" s="28"/>
      <c r="C799" s="28"/>
      <c r="E799" s="55"/>
      <c r="F799" s="55"/>
      <c r="K799" s="55"/>
      <c r="L799" s="55"/>
    </row>
    <row r="800">
      <c r="B800" s="28"/>
      <c r="C800" s="28"/>
      <c r="E800" s="55"/>
      <c r="F800" s="55"/>
      <c r="K800" s="55"/>
      <c r="L800" s="55"/>
    </row>
    <row r="801">
      <c r="B801" s="28"/>
      <c r="C801" s="28"/>
      <c r="E801" s="55"/>
      <c r="F801" s="55"/>
      <c r="K801" s="55"/>
      <c r="L801" s="55"/>
    </row>
    <row r="802">
      <c r="B802" s="28"/>
      <c r="C802" s="28"/>
      <c r="E802" s="55"/>
      <c r="F802" s="55"/>
      <c r="K802" s="55"/>
      <c r="L802" s="55"/>
    </row>
    <row r="803">
      <c r="B803" s="28"/>
      <c r="C803" s="28"/>
      <c r="E803" s="55"/>
      <c r="F803" s="55"/>
      <c r="K803" s="55"/>
      <c r="L803" s="55"/>
    </row>
    <row r="804">
      <c r="B804" s="28"/>
      <c r="C804" s="28"/>
      <c r="E804" s="55"/>
      <c r="F804" s="55"/>
      <c r="K804" s="55"/>
      <c r="L804" s="55"/>
    </row>
    <row r="805">
      <c r="B805" s="28"/>
      <c r="C805" s="28"/>
      <c r="E805" s="55"/>
      <c r="F805" s="55"/>
      <c r="K805" s="55"/>
      <c r="L805" s="55"/>
    </row>
    <row r="806">
      <c r="B806" s="28"/>
      <c r="C806" s="28"/>
      <c r="E806" s="55"/>
      <c r="F806" s="55"/>
      <c r="K806" s="55"/>
      <c r="L806" s="55"/>
    </row>
    <row r="807">
      <c r="B807" s="28"/>
      <c r="C807" s="28"/>
      <c r="E807" s="55"/>
      <c r="F807" s="55"/>
      <c r="K807" s="55"/>
      <c r="L807" s="55"/>
    </row>
    <row r="808">
      <c r="B808" s="28"/>
      <c r="C808" s="28"/>
      <c r="E808" s="55"/>
      <c r="F808" s="55"/>
      <c r="K808" s="55"/>
      <c r="L808" s="55"/>
    </row>
    <row r="809">
      <c r="B809" s="28"/>
      <c r="C809" s="28"/>
      <c r="E809" s="55"/>
      <c r="F809" s="55"/>
      <c r="K809" s="55"/>
      <c r="L809" s="55"/>
    </row>
    <row r="810">
      <c r="B810" s="28"/>
      <c r="C810" s="28"/>
      <c r="E810" s="55"/>
      <c r="F810" s="55"/>
      <c r="K810" s="55"/>
      <c r="L810" s="55"/>
    </row>
    <row r="811">
      <c r="B811" s="28"/>
      <c r="C811" s="28"/>
      <c r="E811" s="55"/>
      <c r="F811" s="55"/>
      <c r="K811" s="55"/>
      <c r="L811" s="55"/>
    </row>
    <row r="812">
      <c r="B812" s="28"/>
      <c r="C812" s="28"/>
      <c r="E812" s="55"/>
      <c r="F812" s="55"/>
      <c r="K812" s="55"/>
      <c r="L812" s="55"/>
    </row>
    <row r="813">
      <c r="B813" s="28"/>
      <c r="C813" s="28"/>
      <c r="E813" s="55"/>
      <c r="F813" s="55"/>
      <c r="K813" s="55"/>
      <c r="L813" s="55"/>
    </row>
    <row r="814">
      <c r="B814" s="28"/>
      <c r="C814" s="28"/>
      <c r="E814" s="55"/>
      <c r="F814" s="55"/>
      <c r="K814" s="55"/>
      <c r="L814" s="55"/>
    </row>
    <row r="815">
      <c r="B815" s="28"/>
      <c r="C815" s="28"/>
      <c r="E815" s="55"/>
      <c r="F815" s="55"/>
      <c r="K815" s="55"/>
      <c r="L815" s="55"/>
    </row>
    <row r="816">
      <c r="B816" s="28"/>
      <c r="C816" s="28"/>
      <c r="E816" s="55"/>
      <c r="F816" s="55"/>
      <c r="K816" s="55"/>
      <c r="L816" s="55"/>
    </row>
    <row r="817">
      <c r="B817" s="28"/>
      <c r="C817" s="28"/>
      <c r="E817" s="55"/>
      <c r="F817" s="55"/>
      <c r="K817" s="55"/>
      <c r="L817" s="55"/>
    </row>
    <row r="818">
      <c r="B818" s="28"/>
      <c r="C818" s="28"/>
      <c r="E818" s="55"/>
      <c r="F818" s="55"/>
      <c r="K818" s="55"/>
      <c r="L818" s="55"/>
    </row>
    <row r="819">
      <c r="B819" s="28"/>
      <c r="C819" s="28"/>
      <c r="E819" s="55"/>
      <c r="F819" s="55"/>
      <c r="K819" s="55"/>
      <c r="L819" s="55"/>
    </row>
    <row r="820">
      <c r="B820" s="28"/>
      <c r="C820" s="28"/>
      <c r="E820" s="55"/>
      <c r="F820" s="55"/>
      <c r="K820" s="55"/>
      <c r="L820" s="55"/>
    </row>
    <row r="821">
      <c r="B821" s="28"/>
      <c r="C821" s="28"/>
      <c r="E821" s="55"/>
      <c r="F821" s="55"/>
      <c r="K821" s="55"/>
      <c r="L821" s="55"/>
    </row>
    <row r="822">
      <c r="B822" s="28"/>
      <c r="C822" s="28"/>
      <c r="E822" s="55"/>
      <c r="F822" s="55"/>
      <c r="K822" s="55"/>
      <c r="L822" s="55"/>
    </row>
    <row r="823">
      <c r="B823" s="28"/>
      <c r="C823" s="28"/>
      <c r="E823" s="55"/>
      <c r="F823" s="55"/>
      <c r="K823" s="55"/>
      <c r="L823" s="55"/>
    </row>
    <row r="824">
      <c r="B824" s="28"/>
      <c r="C824" s="28"/>
      <c r="E824" s="55"/>
      <c r="F824" s="55"/>
      <c r="K824" s="55"/>
      <c r="L824" s="55"/>
    </row>
    <row r="825">
      <c r="B825" s="28"/>
      <c r="C825" s="28"/>
      <c r="E825" s="55"/>
      <c r="F825" s="55"/>
      <c r="K825" s="55"/>
      <c r="L825" s="55"/>
    </row>
    <row r="826">
      <c r="B826" s="28"/>
      <c r="C826" s="28"/>
      <c r="E826" s="55"/>
      <c r="F826" s="55"/>
      <c r="K826" s="55"/>
      <c r="L826" s="55"/>
    </row>
    <row r="827">
      <c r="B827" s="28"/>
      <c r="C827" s="28"/>
      <c r="E827" s="55"/>
      <c r="F827" s="55"/>
      <c r="K827" s="55"/>
      <c r="L827" s="55"/>
    </row>
    <row r="828">
      <c r="B828" s="28"/>
      <c r="C828" s="28"/>
      <c r="E828" s="55"/>
      <c r="F828" s="55"/>
      <c r="K828" s="55"/>
      <c r="L828" s="55"/>
    </row>
    <row r="829">
      <c r="B829" s="28"/>
      <c r="C829" s="28"/>
      <c r="E829" s="55"/>
      <c r="F829" s="55"/>
      <c r="K829" s="55"/>
      <c r="L829" s="55"/>
    </row>
    <row r="830">
      <c r="B830" s="28"/>
      <c r="C830" s="28"/>
      <c r="E830" s="55"/>
      <c r="F830" s="55"/>
      <c r="K830" s="55"/>
      <c r="L830" s="55"/>
    </row>
    <row r="831">
      <c r="B831" s="28"/>
      <c r="C831" s="28"/>
      <c r="E831" s="55"/>
      <c r="F831" s="55"/>
      <c r="K831" s="55"/>
      <c r="L831" s="55"/>
    </row>
    <row r="832">
      <c r="B832" s="28"/>
      <c r="C832" s="28"/>
      <c r="E832" s="55"/>
      <c r="F832" s="55"/>
      <c r="K832" s="55"/>
      <c r="L832" s="55"/>
    </row>
    <row r="833">
      <c r="B833" s="28"/>
      <c r="C833" s="28"/>
      <c r="E833" s="55"/>
      <c r="F833" s="55"/>
      <c r="K833" s="55"/>
      <c r="L833" s="55"/>
    </row>
    <row r="834">
      <c r="B834" s="28"/>
      <c r="C834" s="28"/>
      <c r="E834" s="55"/>
      <c r="F834" s="55"/>
      <c r="K834" s="55"/>
      <c r="L834" s="55"/>
    </row>
    <row r="835">
      <c r="B835" s="28"/>
      <c r="C835" s="28"/>
      <c r="E835" s="55"/>
      <c r="F835" s="55"/>
      <c r="K835" s="55"/>
      <c r="L835" s="55"/>
    </row>
    <row r="836">
      <c r="B836" s="28"/>
      <c r="C836" s="28"/>
      <c r="E836" s="55"/>
      <c r="F836" s="55"/>
      <c r="K836" s="55"/>
      <c r="L836" s="55"/>
    </row>
    <row r="837">
      <c r="B837" s="28"/>
      <c r="C837" s="28"/>
      <c r="E837" s="55"/>
      <c r="F837" s="55"/>
      <c r="K837" s="55"/>
      <c r="L837" s="55"/>
    </row>
    <row r="838">
      <c r="B838" s="28"/>
      <c r="C838" s="28"/>
      <c r="E838" s="55"/>
      <c r="F838" s="55"/>
      <c r="K838" s="55"/>
      <c r="L838" s="55"/>
    </row>
    <row r="839">
      <c r="B839" s="28"/>
      <c r="C839" s="28"/>
      <c r="E839" s="55"/>
      <c r="F839" s="55"/>
      <c r="K839" s="55"/>
      <c r="L839" s="55"/>
    </row>
    <row r="840">
      <c r="B840" s="28"/>
      <c r="C840" s="28"/>
      <c r="E840" s="55"/>
      <c r="F840" s="55"/>
      <c r="K840" s="55"/>
      <c r="L840" s="55"/>
    </row>
    <row r="841">
      <c r="B841" s="28"/>
      <c r="C841" s="28"/>
      <c r="E841" s="55"/>
      <c r="F841" s="55"/>
      <c r="K841" s="55"/>
      <c r="L841" s="55"/>
    </row>
    <row r="842">
      <c r="B842" s="28"/>
      <c r="C842" s="28"/>
      <c r="E842" s="55"/>
      <c r="F842" s="55"/>
      <c r="K842" s="55"/>
      <c r="L842" s="55"/>
    </row>
    <row r="843">
      <c r="B843" s="28"/>
      <c r="C843" s="28"/>
      <c r="E843" s="55"/>
      <c r="F843" s="55"/>
      <c r="K843" s="55"/>
      <c r="L843" s="55"/>
    </row>
    <row r="844">
      <c r="B844" s="28"/>
      <c r="C844" s="28"/>
      <c r="E844" s="55"/>
      <c r="F844" s="55"/>
      <c r="K844" s="55"/>
      <c r="L844" s="55"/>
    </row>
    <row r="845">
      <c r="B845" s="28"/>
      <c r="C845" s="28"/>
      <c r="E845" s="55"/>
      <c r="F845" s="55"/>
      <c r="K845" s="55"/>
      <c r="L845" s="55"/>
    </row>
    <row r="846">
      <c r="B846" s="28"/>
      <c r="C846" s="28"/>
      <c r="E846" s="55"/>
      <c r="F846" s="55"/>
      <c r="K846" s="55"/>
      <c r="L846" s="55"/>
    </row>
    <row r="847">
      <c r="B847" s="28"/>
      <c r="C847" s="28"/>
      <c r="E847" s="55"/>
      <c r="F847" s="55"/>
      <c r="K847" s="55"/>
      <c r="L847" s="55"/>
    </row>
    <row r="848">
      <c r="B848" s="28"/>
      <c r="C848" s="28"/>
      <c r="E848" s="55"/>
      <c r="F848" s="55"/>
      <c r="K848" s="55"/>
      <c r="L848" s="55"/>
    </row>
    <row r="849">
      <c r="B849" s="28"/>
      <c r="C849" s="28"/>
      <c r="E849" s="55"/>
      <c r="F849" s="55"/>
      <c r="K849" s="55"/>
      <c r="L849" s="55"/>
    </row>
    <row r="850">
      <c r="B850" s="28"/>
      <c r="C850" s="28"/>
      <c r="E850" s="55"/>
      <c r="F850" s="55"/>
      <c r="K850" s="55"/>
      <c r="L850" s="55"/>
    </row>
    <row r="851">
      <c r="B851" s="28"/>
      <c r="C851" s="28"/>
      <c r="E851" s="55"/>
      <c r="F851" s="55"/>
      <c r="K851" s="55"/>
      <c r="L851" s="55"/>
    </row>
    <row r="852">
      <c r="B852" s="28"/>
      <c r="C852" s="28"/>
      <c r="E852" s="55"/>
      <c r="F852" s="55"/>
      <c r="K852" s="55"/>
      <c r="L852" s="55"/>
    </row>
    <row r="853">
      <c r="B853" s="28"/>
      <c r="C853" s="28"/>
      <c r="E853" s="55"/>
      <c r="F853" s="55"/>
      <c r="K853" s="55"/>
      <c r="L853" s="55"/>
    </row>
    <row r="854">
      <c r="B854" s="28"/>
      <c r="C854" s="28"/>
      <c r="E854" s="55"/>
      <c r="F854" s="55"/>
      <c r="K854" s="55"/>
      <c r="L854" s="55"/>
    </row>
    <row r="855">
      <c r="B855" s="28"/>
      <c r="C855" s="28"/>
      <c r="E855" s="55"/>
      <c r="F855" s="55"/>
      <c r="K855" s="55"/>
      <c r="L855" s="55"/>
    </row>
    <row r="856">
      <c r="B856" s="28"/>
      <c r="C856" s="28"/>
      <c r="E856" s="55"/>
      <c r="F856" s="55"/>
      <c r="K856" s="55"/>
      <c r="L856" s="55"/>
    </row>
    <row r="857">
      <c r="B857" s="28"/>
      <c r="C857" s="28"/>
      <c r="E857" s="55"/>
      <c r="F857" s="55"/>
      <c r="K857" s="55"/>
      <c r="L857" s="55"/>
    </row>
    <row r="858">
      <c r="B858" s="28"/>
      <c r="C858" s="28"/>
      <c r="E858" s="55"/>
      <c r="F858" s="55"/>
      <c r="K858" s="55"/>
      <c r="L858" s="55"/>
    </row>
    <row r="859">
      <c r="B859" s="28"/>
      <c r="C859" s="28"/>
      <c r="E859" s="55"/>
      <c r="F859" s="55"/>
      <c r="K859" s="55"/>
      <c r="L859" s="55"/>
    </row>
    <row r="860">
      <c r="B860" s="28"/>
      <c r="C860" s="28"/>
      <c r="E860" s="55"/>
      <c r="F860" s="55"/>
      <c r="K860" s="55"/>
      <c r="L860" s="55"/>
    </row>
    <row r="861">
      <c r="B861" s="28"/>
      <c r="C861" s="28"/>
      <c r="E861" s="55"/>
      <c r="F861" s="55"/>
      <c r="K861" s="55"/>
      <c r="L861" s="55"/>
    </row>
    <row r="862">
      <c r="B862" s="28"/>
      <c r="C862" s="28"/>
      <c r="E862" s="55"/>
      <c r="F862" s="55"/>
      <c r="K862" s="55"/>
      <c r="L862" s="55"/>
    </row>
    <row r="863">
      <c r="B863" s="28"/>
      <c r="C863" s="28"/>
      <c r="E863" s="55"/>
      <c r="F863" s="55"/>
      <c r="K863" s="55"/>
      <c r="L863" s="55"/>
    </row>
    <row r="864">
      <c r="B864" s="28"/>
      <c r="C864" s="28"/>
      <c r="E864" s="55"/>
      <c r="F864" s="55"/>
      <c r="K864" s="55"/>
      <c r="L864" s="55"/>
    </row>
    <row r="865">
      <c r="B865" s="28"/>
      <c r="C865" s="28"/>
      <c r="E865" s="55"/>
      <c r="F865" s="55"/>
      <c r="K865" s="55"/>
      <c r="L865" s="55"/>
    </row>
    <row r="866">
      <c r="B866" s="28"/>
      <c r="C866" s="28"/>
      <c r="E866" s="55"/>
      <c r="F866" s="55"/>
      <c r="K866" s="55"/>
      <c r="L866" s="55"/>
    </row>
    <row r="867">
      <c r="B867" s="28"/>
      <c r="C867" s="28"/>
      <c r="E867" s="55"/>
      <c r="F867" s="55"/>
      <c r="K867" s="55"/>
      <c r="L867" s="55"/>
    </row>
    <row r="868">
      <c r="B868" s="28"/>
      <c r="C868" s="28"/>
      <c r="E868" s="55"/>
      <c r="F868" s="55"/>
      <c r="K868" s="55"/>
      <c r="L868" s="55"/>
    </row>
    <row r="869">
      <c r="B869" s="28"/>
      <c r="C869" s="28"/>
      <c r="E869" s="55"/>
      <c r="F869" s="55"/>
      <c r="K869" s="55"/>
      <c r="L869" s="55"/>
    </row>
    <row r="870">
      <c r="B870" s="28"/>
      <c r="C870" s="28"/>
      <c r="E870" s="55"/>
      <c r="F870" s="55"/>
      <c r="K870" s="55"/>
      <c r="L870" s="55"/>
    </row>
    <row r="871">
      <c r="B871" s="28"/>
      <c r="C871" s="28"/>
      <c r="E871" s="55"/>
      <c r="F871" s="55"/>
      <c r="K871" s="55"/>
      <c r="L871" s="55"/>
    </row>
    <row r="872">
      <c r="B872" s="28"/>
      <c r="C872" s="28"/>
      <c r="E872" s="55"/>
      <c r="F872" s="55"/>
      <c r="K872" s="55"/>
      <c r="L872" s="55"/>
    </row>
    <row r="873">
      <c r="B873" s="28"/>
      <c r="C873" s="28"/>
      <c r="E873" s="55"/>
      <c r="F873" s="55"/>
      <c r="K873" s="55"/>
      <c r="L873" s="55"/>
    </row>
    <row r="874">
      <c r="B874" s="28"/>
      <c r="C874" s="28"/>
      <c r="E874" s="55"/>
      <c r="F874" s="55"/>
      <c r="K874" s="55"/>
      <c r="L874" s="55"/>
    </row>
    <row r="875">
      <c r="B875" s="28"/>
      <c r="C875" s="28"/>
      <c r="E875" s="55"/>
      <c r="F875" s="55"/>
      <c r="K875" s="55"/>
      <c r="L875" s="55"/>
    </row>
    <row r="876">
      <c r="B876" s="28"/>
      <c r="C876" s="28"/>
      <c r="E876" s="55"/>
      <c r="F876" s="55"/>
      <c r="K876" s="55"/>
      <c r="L876" s="55"/>
    </row>
    <row r="877">
      <c r="B877" s="28"/>
      <c r="C877" s="28"/>
      <c r="E877" s="55"/>
      <c r="F877" s="55"/>
      <c r="K877" s="55"/>
      <c r="L877" s="55"/>
    </row>
    <row r="878">
      <c r="B878" s="28"/>
      <c r="C878" s="28"/>
      <c r="E878" s="55"/>
      <c r="F878" s="55"/>
      <c r="K878" s="55"/>
      <c r="L878" s="55"/>
    </row>
    <row r="879">
      <c r="B879" s="28"/>
      <c r="C879" s="28"/>
      <c r="E879" s="55"/>
      <c r="F879" s="55"/>
      <c r="K879" s="55"/>
      <c r="L879" s="55"/>
    </row>
    <row r="880">
      <c r="B880" s="28"/>
      <c r="C880" s="28"/>
      <c r="E880" s="55"/>
      <c r="F880" s="55"/>
      <c r="K880" s="55"/>
      <c r="L880" s="55"/>
    </row>
    <row r="881">
      <c r="B881" s="28"/>
      <c r="C881" s="28"/>
      <c r="E881" s="55"/>
      <c r="F881" s="55"/>
      <c r="K881" s="55"/>
      <c r="L881" s="55"/>
    </row>
    <row r="882">
      <c r="B882" s="28"/>
      <c r="C882" s="28"/>
      <c r="E882" s="55"/>
      <c r="F882" s="55"/>
      <c r="K882" s="55"/>
      <c r="L882" s="55"/>
    </row>
    <row r="883">
      <c r="B883" s="28"/>
      <c r="C883" s="28"/>
      <c r="E883" s="55"/>
      <c r="F883" s="55"/>
      <c r="K883" s="55"/>
      <c r="L883" s="55"/>
    </row>
    <row r="884">
      <c r="B884" s="28"/>
      <c r="C884" s="28"/>
      <c r="E884" s="55"/>
      <c r="F884" s="55"/>
      <c r="K884" s="55"/>
      <c r="L884" s="55"/>
    </row>
    <row r="885">
      <c r="B885" s="28"/>
      <c r="C885" s="28"/>
      <c r="E885" s="55"/>
      <c r="F885" s="55"/>
      <c r="K885" s="55"/>
      <c r="L885" s="55"/>
    </row>
    <row r="886">
      <c r="B886" s="28"/>
      <c r="C886" s="28"/>
      <c r="E886" s="55"/>
      <c r="F886" s="55"/>
      <c r="K886" s="55"/>
      <c r="L886" s="55"/>
    </row>
    <row r="887">
      <c r="B887" s="28"/>
      <c r="C887" s="28"/>
      <c r="E887" s="55"/>
      <c r="F887" s="55"/>
      <c r="K887" s="55"/>
      <c r="L887" s="55"/>
    </row>
    <row r="888">
      <c r="B888" s="28"/>
      <c r="C888" s="28"/>
      <c r="E888" s="55"/>
      <c r="F888" s="55"/>
      <c r="K888" s="55"/>
      <c r="L888" s="55"/>
    </row>
    <row r="889">
      <c r="B889" s="28"/>
      <c r="C889" s="28"/>
      <c r="E889" s="55"/>
      <c r="F889" s="55"/>
      <c r="K889" s="55"/>
      <c r="L889" s="55"/>
    </row>
    <row r="890">
      <c r="B890" s="28"/>
      <c r="C890" s="28"/>
      <c r="E890" s="55"/>
      <c r="F890" s="55"/>
      <c r="K890" s="55"/>
      <c r="L890" s="55"/>
    </row>
    <row r="891">
      <c r="B891" s="28"/>
      <c r="C891" s="28"/>
      <c r="E891" s="55"/>
      <c r="F891" s="55"/>
      <c r="K891" s="55"/>
      <c r="L891" s="55"/>
    </row>
    <row r="892">
      <c r="B892" s="28"/>
      <c r="C892" s="28"/>
      <c r="E892" s="55"/>
      <c r="F892" s="55"/>
      <c r="K892" s="55"/>
      <c r="L892" s="55"/>
    </row>
    <row r="893">
      <c r="B893" s="28"/>
      <c r="C893" s="28"/>
      <c r="E893" s="55"/>
      <c r="F893" s="55"/>
      <c r="K893" s="55"/>
      <c r="L893" s="55"/>
    </row>
    <row r="894">
      <c r="B894" s="28"/>
      <c r="C894" s="28"/>
      <c r="E894" s="55"/>
      <c r="F894" s="55"/>
      <c r="K894" s="55"/>
      <c r="L894" s="55"/>
    </row>
    <row r="895">
      <c r="B895" s="28"/>
      <c r="C895" s="28"/>
      <c r="E895" s="55"/>
      <c r="F895" s="55"/>
      <c r="K895" s="55"/>
      <c r="L895" s="55"/>
    </row>
    <row r="896">
      <c r="B896" s="28"/>
      <c r="C896" s="28"/>
      <c r="E896" s="55"/>
      <c r="F896" s="55"/>
      <c r="K896" s="55"/>
      <c r="L896" s="55"/>
    </row>
    <row r="897">
      <c r="B897" s="28"/>
      <c r="C897" s="28"/>
      <c r="E897" s="55"/>
      <c r="F897" s="55"/>
      <c r="K897" s="55"/>
      <c r="L897" s="55"/>
    </row>
    <row r="898">
      <c r="B898" s="28"/>
      <c r="C898" s="28"/>
      <c r="E898" s="55"/>
      <c r="F898" s="55"/>
      <c r="K898" s="55"/>
      <c r="L898" s="55"/>
    </row>
    <row r="899">
      <c r="B899" s="28"/>
      <c r="C899" s="28"/>
      <c r="E899" s="55"/>
      <c r="F899" s="55"/>
      <c r="K899" s="55"/>
      <c r="L899" s="55"/>
    </row>
    <row r="900">
      <c r="B900" s="28"/>
      <c r="C900" s="28"/>
      <c r="E900" s="55"/>
      <c r="F900" s="55"/>
      <c r="K900" s="55"/>
      <c r="L900" s="55"/>
    </row>
    <row r="901">
      <c r="B901" s="28"/>
      <c r="C901" s="28"/>
      <c r="E901" s="55"/>
      <c r="F901" s="55"/>
      <c r="K901" s="55"/>
      <c r="L901" s="55"/>
    </row>
    <row r="902">
      <c r="B902" s="28"/>
      <c r="C902" s="28"/>
      <c r="E902" s="55"/>
      <c r="F902" s="55"/>
      <c r="K902" s="55"/>
      <c r="L902" s="55"/>
    </row>
    <row r="903">
      <c r="B903" s="28"/>
      <c r="C903" s="28"/>
      <c r="E903" s="55"/>
      <c r="F903" s="55"/>
      <c r="K903" s="55"/>
      <c r="L903" s="55"/>
    </row>
    <row r="904">
      <c r="B904" s="28"/>
      <c r="C904" s="28"/>
      <c r="E904" s="55"/>
      <c r="F904" s="55"/>
      <c r="K904" s="55"/>
      <c r="L904" s="55"/>
    </row>
    <row r="905">
      <c r="B905" s="28"/>
      <c r="C905" s="28"/>
      <c r="E905" s="55"/>
      <c r="F905" s="55"/>
      <c r="K905" s="55"/>
      <c r="L905" s="55"/>
    </row>
    <row r="906">
      <c r="B906" s="28"/>
      <c r="C906" s="28"/>
      <c r="E906" s="55"/>
      <c r="F906" s="55"/>
      <c r="K906" s="55"/>
      <c r="L906" s="55"/>
    </row>
    <row r="907">
      <c r="B907" s="28"/>
      <c r="C907" s="28"/>
      <c r="E907" s="55"/>
      <c r="F907" s="55"/>
      <c r="K907" s="55"/>
      <c r="L907" s="55"/>
    </row>
    <row r="908">
      <c r="B908" s="28"/>
      <c r="C908" s="28"/>
      <c r="E908" s="55"/>
      <c r="F908" s="55"/>
      <c r="K908" s="55"/>
      <c r="L908" s="55"/>
    </row>
    <row r="909">
      <c r="B909" s="28"/>
      <c r="C909" s="28"/>
      <c r="E909" s="55"/>
      <c r="F909" s="55"/>
      <c r="K909" s="55"/>
      <c r="L909" s="55"/>
    </row>
    <row r="910">
      <c r="B910" s="28"/>
      <c r="C910" s="28"/>
      <c r="E910" s="55"/>
      <c r="F910" s="55"/>
      <c r="K910" s="55"/>
      <c r="L910" s="55"/>
    </row>
    <row r="911">
      <c r="B911" s="28"/>
      <c r="C911" s="28"/>
      <c r="E911" s="55"/>
      <c r="F911" s="55"/>
      <c r="K911" s="55"/>
      <c r="L911" s="55"/>
    </row>
    <row r="912">
      <c r="B912" s="28"/>
      <c r="C912" s="28"/>
      <c r="E912" s="55"/>
      <c r="F912" s="55"/>
      <c r="K912" s="55"/>
      <c r="L912" s="55"/>
    </row>
    <row r="913">
      <c r="B913" s="28"/>
      <c r="C913" s="28"/>
      <c r="E913" s="55"/>
      <c r="F913" s="55"/>
      <c r="K913" s="55"/>
      <c r="L913" s="55"/>
    </row>
    <row r="914">
      <c r="B914" s="28"/>
      <c r="C914" s="28"/>
      <c r="E914" s="55"/>
      <c r="F914" s="55"/>
      <c r="K914" s="55"/>
      <c r="L914" s="55"/>
    </row>
    <row r="915">
      <c r="B915" s="28"/>
      <c r="C915" s="28"/>
      <c r="E915" s="55"/>
      <c r="F915" s="55"/>
      <c r="K915" s="55"/>
      <c r="L915" s="55"/>
    </row>
    <row r="916">
      <c r="B916" s="28"/>
      <c r="C916" s="28"/>
      <c r="E916" s="55"/>
      <c r="F916" s="55"/>
      <c r="K916" s="55"/>
      <c r="L916" s="55"/>
    </row>
    <row r="917">
      <c r="B917" s="28"/>
      <c r="C917" s="28"/>
      <c r="E917" s="55"/>
      <c r="F917" s="55"/>
      <c r="K917" s="55"/>
      <c r="L917" s="55"/>
    </row>
    <row r="918">
      <c r="B918" s="28"/>
      <c r="C918" s="28"/>
      <c r="E918" s="55"/>
      <c r="F918" s="55"/>
      <c r="K918" s="55"/>
      <c r="L918" s="55"/>
    </row>
    <row r="919">
      <c r="B919" s="28"/>
      <c r="C919" s="28"/>
      <c r="E919" s="55"/>
      <c r="F919" s="55"/>
      <c r="K919" s="55"/>
      <c r="L919" s="55"/>
    </row>
    <row r="920">
      <c r="B920" s="28"/>
      <c r="C920" s="28"/>
      <c r="E920" s="55"/>
      <c r="F920" s="55"/>
      <c r="K920" s="55"/>
      <c r="L920" s="55"/>
    </row>
    <row r="921">
      <c r="B921" s="28"/>
      <c r="C921" s="28"/>
      <c r="E921" s="55"/>
      <c r="F921" s="55"/>
      <c r="K921" s="55"/>
      <c r="L921" s="55"/>
    </row>
    <row r="922">
      <c r="B922" s="28"/>
      <c r="C922" s="28"/>
      <c r="E922" s="55"/>
      <c r="F922" s="55"/>
      <c r="K922" s="55"/>
      <c r="L922" s="55"/>
    </row>
    <row r="923">
      <c r="B923" s="28"/>
      <c r="C923" s="28"/>
      <c r="E923" s="55"/>
      <c r="F923" s="55"/>
      <c r="K923" s="55"/>
      <c r="L923" s="55"/>
    </row>
    <row r="924">
      <c r="B924" s="28"/>
      <c r="C924" s="28"/>
      <c r="E924" s="55"/>
      <c r="F924" s="55"/>
      <c r="K924" s="55"/>
      <c r="L924" s="55"/>
    </row>
    <row r="925">
      <c r="B925" s="28"/>
      <c r="C925" s="28"/>
      <c r="E925" s="55"/>
      <c r="F925" s="55"/>
      <c r="K925" s="55"/>
      <c r="L925" s="55"/>
    </row>
    <row r="926">
      <c r="B926" s="28"/>
      <c r="C926" s="28"/>
      <c r="E926" s="55"/>
      <c r="F926" s="55"/>
      <c r="K926" s="55"/>
      <c r="L926" s="55"/>
    </row>
    <row r="927">
      <c r="B927" s="28"/>
      <c r="C927" s="28"/>
      <c r="E927" s="55"/>
      <c r="F927" s="55"/>
      <c r="K927" s="55"/>
      <c r="L927" s="55"/>
    </row>
    <row r="928">
      <c r="B928" s="28"/>
      <c r="C928" s="28"/>
      <c r="E928" s="55"/>
      <c r="F928" s="55"/>
      <c r="K928" s="55"/>
      <c r="L928" s="55"/>
    </row>
    <row r="929">
      <c r="B929" s="28"/>
      <c r="C929" s="28"/>
      <c r="E929" s="55"/>
      <c r="F929" s="55"/>
      <c r="K929" s="55"/>
      <c r="L929" s="55"/>
    </row>
    <row r="930">
      <c r="B930" s="28"/>
      <c r="C930" s="28"/>
      <c r="E930" s="55"/>
      <c r="F930" s="55"/>
      <c r="K930" s="55"/>
      <c r="L930" s="55"/>
    </row>
    <row r="931">
      <c r="B931" s="28"/>
      <c r="C931" s="28"/>
      <c r="E931" s="55"/>
      <c r="F931" s="55"/>
      <c r="K931" s="55"/>
      <c r="L931" s="55"/>
    </row>
    <row r="932">
      <c r="B932" s="28"/>
      <c r="C932" s="28"/>
      <c r="E932" s="55"/>
      <c r="F932" s="55"/>
      <c r="K932" s="55"/>
      <c r="L932" s="55"/>
    </row>
    <row r="933">
      <c r="B933" s="28"/>
      <c r="C933" s="28"/>
      <c r="E933" s="55"/>
      <c r="F933" s="55"/>
      <c r="K933" s="55"/>
      <c r="L933" s="55"/>
    </row>
    <row r="934">
      <c r="B934" s="28"/>
      <c r="C934" s="28"/>
      <c r="E934" s="55"/>
      <c r="F934" s="55"/>
      <c r="K934" s="55"/>
      <c r="L934" s="55"/>
    </row>
    <row r="935">
      <c r="B935" s="28"/>
      <c r="C935" s="28"/>
      <c r="E935" s="55"/>
      <c r="F935" s="55"/>
      <c r="K935" s="55"/>
      <c r="L935" s="55"/>
    </row>
    <row r="936">
      <c r="B936" s="28"/>
      <c r="C936" s="28"/>
      <c r="E936" s="55"/>
      <c r="F936" s="55"/>
      <c r="K936" s="55"/>
      <c r="L936" s="55"/>
    </row>
    <row r="937">
      <c r="B937" s="28"/>
      <c r="C937" s="28"/>
      <c r="E937" s="55"/>
      <c r="F937" s="55"/>
      <c r="K937" s="55"/>
      <c r="L937" s="55"/>
    </row>
    <row r="938">
      <c r="B938" s="28"/>
      <c r="C938" s="28"/>
      <c r="E938" s="55"/>
      <c r="F938" s="55"/>
      <c r="K938" s="55"/>
      <c r="L938" s="55"/>
    </row>
    <row r="939">
      <c r="B939" s="28"/>
      <c r="C939" s="28"/>
      <c r="E939" s="55"/>
      <c r="F939" s="55"/>
      <c r="K939" s="55"/>
      <c r="L939" s="55"/>
    </row>
    <row r="940">
      <c r="B940" s="28"/>
      <c r="C940" s="28"/>
      <c r="E940" s="55"/>
      <c r="F940" s="55"/>
      <c r="K940" s="55"/>
      <c r="L940" s="55"/>
    </row>
    <row r="941">
      <c r="B941" s="28"/>
      <c r="C941" s="28"/>
      <c r="E941" s="55"/>
      <c r="F941" s="55"/>
      <c r="K941" s="55"/>
      <c r="L941" s="55"/>
    </row>
    <row r="942">
      <c r="B942" s="28"/>
      <c r="C942" s="28"/>
      <c r="E942" s="55"/>
      <c r="F942" s="55"/>
      <c r="K942" s="55"/>
      <c r="L942" s="55"/>
    </row>
    <row r="943">
      <c r="B943" s="28"/>
      <c r="C943" s="28"/>
      <c r="E943" s="55"/>
      <c r="F943" s="55"/>
      <c r="K943" s="55"/>
      <c r="L943" s="55"/>
    </row>
    <row r="944">
      <c r="B944" s="28"/>
      <c r="C944" s="28"/>
      <c r="E944" s="55"/>
      <c r="F944" s="55"/>
      <c r="K944" s="55"/>
      <c r="L944" s="55"/>
    </row>
    <row r="945">
      <c r="B945" s="28"/>
      <c r="C945" s="28"/>
      <c r="E945" s="55"/>
      <c r="F945" s="55"/>
      <c r="K945" s="55"/>
      <c r="L945" s="55"/>
    </row>
    <row r="946">
      <c r="B946" s="28"/>
      <c r="C946" s="28"/>
      <c r="E946" s="55"/>
      <c r="F946" s="55"/>
      <c r="K946" s="55"/>
      <c r="L946" s="55"/>
    </row>
    <row r="947">
      <c r="B947" s="28"/>
      <c r="C947" s="28"/>
      <c r="E947" s="55"/>
      <c r="F947" s="55"/>
      <c r="K947" s="55"/>
      <c r="L947" s="55"/>
    </row>
    <row r="948">
      <c r="B948" s="28"/>
      <c r="C948" s="28"/>
      <c r="E948" s="55"/>
      <c r="F948" s="55"/>
      <c r="K948" s="55"/>
      <c r="L948" s="55"/>
    </row>
    <row r="949">
      <c r="B949" s="28"/>
      <c r="C949" s="28"/>
      <c r="E949" s="55"/>
      <c r="F949" s="55"/>
      <c r="K949" s="55"/>
      <c r="L949" s="55"/>
    </row>
    <row r="950">
      <c r="B950" s="28"/>
      <c r="C950" s="28"/>
      <c r="E950" s="55"/>
      <c r="F950" s="55"/>
      <c r="K950" s="55"/>
      <c r="L950" s="55"/>
    </row>
    <row r="951">
      <c r="B951" s="28"/>
      <c r="C951" s="28"/>
      <c r="E951" s="55"/>
      <c r="F951" s="55"/>
      <c r="K951" s="55"/>
      <c r="L951" s="55"/>
    </row>
    <row r="952">
      <c r="B952" s="28"/>
      <c r="C952" s="28"/>
      <c r="E952" s="55"/>
      <c r="F952" s="55"/>
      <c r="K952" s="55"/>
      <c r="L952" s="55"/>
    </row>
    <row r="953">
      <c r="B953" s="28"/>
      <c r="C953" s="28"/>
      <c r="E953" s="55"/>
      <c r="F953" s="55"/>
      <c r="K953" s="55"/>
      <c r="L953" s="55"/>
    </row>
    <row r="954">
      <c r="B954" s="28"/>
      <c r="C954" s="28"/>
      <c r="E954" s="55"/>
      <c r="F954" s="55"/>
      <c r="K954" s="55"/>
      <c r="L954" s="55"/>
    </row>
    <row r="955">
      <c r="B955" s="28"/>
      <c r="C955" s="28"/>
      <c r="E955" s="55"/>
      <c r="F955" s="55"/>
      <c r="K955" s="55"/>
      <c r="L955" s="55"/>
    </row>
    <row r="956">
      <c r="B956" s="28"/>
      <c r="C956" s="28"/>
      <c r="E956" s="55"/>
      <c r="F956" s="55"/>
      <c r="K956" s="55"/>
      <c r="L956" s="55"/>
    </row>
    <row r="957">
      <c r="B957" s="28"/>
      <c r="C957" s="28"/>
      <c r="E957" s="55"/>
      <c r="F957" s="55"/>
      <c r="K957" s="55"/>
      <c r="L957" s="55"/>
    </row>
    <row r="958">
      <c r="B958" s="28"/>
      <c r="C958" s="28"/>
      <c r="E958" s="55"/>
      <c r="F958" s="55"/>
      <c r="K958" s="55"/>
      <c r="L958" s="55"/>
    </row>
    <row r="959">
      <c r="B959" s="28"/>
      <c r="C959" s="28"/>
      <c r="E959" s="55"/>
      <c r="F959" s="55"/>
      <c r="K959" s="55"/>
      <c r="L959" s="55"/>
    </row>
    <row r="960">
      <c r="B960" s="28"/>
      <c r="C960" s="28"/>
      <c r="E960" s="55"/>
      <c r="F960" s="55"/>
      <c r="K960" s="55"/>
      <c r="L960" s="55"/>
    </row>
    <row r="961">
      <c r="B961" s="28"/>
      <c r="C961" s="28"/>
      <c r="E961" s="55"/>
      <c r="F961" s="55"/>
      <c r="K961" s="55"/>
      <c r="L961" s="55"/>
    </row>
    <row r="962">
      <c r="B962" s="28"/>
      <c r="C962" s="28"/>
      <c r="E962" s="55"/>
      <c r="F962" s="55"/>
      <c r="K962" s="55"/>
      <c r="L962" s="55"/>
    </row>
    <row r="963">
      <c r="B963" s="28"/>
      <c r="C963" s="28"/>
      <c r="E963" s="55"/>
      <c r="F963" s="55"/>
      <c r="K963" s="55"/>
      <c r="L963" s="55"/>
    </row>
    <row r="964">
      <c r="B964" s="28"/>
      <c r="C964" s="28"/>
      <c r="E964" s="55"/>
      <c r="F964" s="55"/>
      <c r="K964" s="55"/>
      <c r="L964" s="55"/>
    </row>
    <row r="965">
      <c r="B965" s="28"/>
      <c r="C965" s="28"/>
      <c r="E965" s="55"/>
      <c r="F965" s="55"/>
      <c r="K965" s="55"/>
      <c r="L965" s="55"/>
    </row>
    <row r="966">
      <c r="B966" s="28"/>
      <c r="C966" s="28"/>
      <c r="E966" s="55"/>
      <c r="F966" s="55"/>
      <c r="K966" s="55"/>
      <c r="L966" s="55"/>
    </row>
    <row r="967">
      <c r="B967" s="28"/>
      <c r="C967" s="28"/>
      <c r="E967" s="55"/>
      <c r="F967" s="55"/>
      <c r="K967" s="55"/>
      <c r="L967" s="55"/>
    </row>
    <row r="968">
      <c r="B968" s="28"/>
      <c r="C968" s="28"/>
      <c r="E968" s="55"/>
      <c r="F968" s="55"/>
      <c r="K968" s="55"/>
      <c r="L968" s="55"/>
    </row>
    <row r="969">
      <c r="B969" s="28"/>
      <c r="C969" s="28"/>
      <c r="E969" s="55"/>
      <c r="F969" s="55"/>
      <c r="K969" s="55"/>
      <c r="L969" s="55"/>
    </row>
    <row r="970">
      <c r="B970" s="28"/>
      <c r="C970" s="28"/>
      <c r="E970" s="55"/>
      <c r="F970" s="55"/>
      <c r="K970" s="55"/>
      <c r="L970" s="55"/>
    </row>
    <row r="971">
      <c r="B971" s="28"/>
      <c r="C971" s="28"/>
      <c r="E971" s="55"/>
      <c r="F971" s="55"/>
      <c r="K971" s="55"/>
      <c r="L971" s="55"/>
    </row>
    <row r="972">
      <c r="B972" s="28"/>
      <c r="C972" s="28"/>
      <c r="E972" s="55"/>
      <c r="F972" s="55"/>
      <c r="K972" s="55"/>
      <c r="L972" s="55"/>
    </row>
    <row r="973">
      <c r="B973" s="28"/>
      <c r="C973" s="28"/>
      <c r="E973" s="55"/>
      <c r="F973" s="55"/>
      <c r="K973" s="55"/>
      <c r="L973" s="55"/>
    </row>
    <row r="974">
      <c r="B974" s="28"/>
      <c r="C974" s="28"/>
      <c r="E974" s="55"/>
      <c r="F974" s="55"/>
      <c r="K974" s="55"/>
      <c r="L974" s="55"/>
    </row>
    <row r="975">
      <c r="B975" s="28"/>
      <c r="C975" s="28"/>
      <c r="E975" s="55"/>
      <c r="F975" s="55"/>
      <c r="K975" s="55"/>
      <c r="L975" s="55"/>
    </row>
    <row r="976">
      <c r="B976" s="28"/>
      <c r="C976" s="28"/>
      <c r="E976" s="55"/>
      <c r="F976" s="55"/>
      <c r="K976" s="55"/>
      <c r="L976" s="55"/>
    </row>
    <row r="977">
      <c r="B977" s="28"/>
      <c r="C977" s="28"/>
      <c r="E977" s="55"/>
      <c r="F977" s="55"/>
      <c r="K977" s="55"/>
      <c r="L977" s="55"/>
    </row>
    <row r="978">
      <c r="B978" s="28"/>
      <c r="C978" s="28"/>
      <c r="E978" s="55"/>
      <c r="F978" s="55"/>
      <c r="K978" s="55"/>
      <c r="L978" s="55"/>
    </row>
    <row r="979">
      <c r="B979" s="28"/>
      <c r="C979" s="28"/>
      <c r="E979" s="55"/>
      <c r="F979" s="55"/>
      <c r="K979" s="55"/>
      <c r="L979" s="55"/>
    </row>
    <row r="980">
      <c r="B980" s="28"/>
      <c r="C980" s="28"/>
      <c r="E980" s="55"/>
      <c r="F980" s="55"/>
      <c r="K980" s="55"/>
      <c r="L980" s="55"/>
    </row>
    <row r="981">
      <c r="B981" s="28"/>
      <c r="C981" s="28"/>
      <c r="E981" s="55"/>
      <c r="F981" s="55"/>
      <c r="K981" s="55"/>
      <c r="L981" s="55"/>
    </row>
    <row r="982">
      <c r="B982" s="28"/>
      <c r="C982" s="28"/>
      <c r="E982" s="55"/>
      <c r="F982" s="55"/>
      <c r="K982" s="55"/>
      <c r="L982" s="55"/>
    </row>
    <row r="983">
      <c r="B983" s="28"/>
      <c r="C983" s="28"/>
      <c r="E983" s="55"/>
      <c r="F983" s="55"/>
      <c r="K983" s="55"/>
      <c r="L983" s="55"/>
    </row>
    <row r="984">
      <c r="B984" s="28"/>
      <c r="C984" s="28"/>
      <c r="E984" s="55"/>
      <c r="F984" s="55"/>
      <c r="K984" s="55"/>
      <c r="L984" s="55"/>
    </row>
    <row r="985">
      <c r="B985" s="28"/>
      <c r="C985" s="28"/>
      <c r="E985" s="55"/>
      <c r="F985" s="55"/>
      <c r="K985" s="55"/>
      <c r="L985" s="55"/>
    </row>
    <row r="986">
      <c r="B986" s="28"/>
      <c r="C986" s="28"/>
      <c r="E986" s="55"/>
      <c r="F986" s="55"/>
      <c r="K986" s="55"/>
      <c r="L986" s="55"/>
    </row>
    <row r="987">
      <c r="B987" s="28"/>
      <c r="C987" s="28"/>
      <c r="E987" s="55"/>
      <c r="F987" s="55"/>
      <c r="K987" s="55"/>
      <c r="L987" s="55"/>
    </row>
    <row r="988">
      <c r="B988" s="28"/>
      <c r="C988" s="28"/>
      <c r="E988" s="55"/>
      <c r="F988" s="55"/>
      <c r="K988" s="55"/>
      <c r="L988" s="55"/>
    </row>
    <row r="989">
      <c r="B989" s="28"/>
      <c r="C989" s="28"/>
      <c r="E989" s="55"/>
      <c r="F989" s="55"/>
      <c r="K989" s="55"/>
      <c r="L989" s="55"/>
    </row>
    <row r="990">
      <c r="B990" s="28"/>
      <c r="C990" s="28"/>
      <c r="E990" s="55"/>
      <c r="F990" s="55"/>
      <c r="K990" s="55"/>
      <c r="L990" s="55"/>
    </row>
    <row r="991">
      <c r="B991" s="28"/>
      <c r="C991" s="28"/>
      <c r="E991" s="55"/>
      <c r="F991" s="55"/>
      <c r="K991" s="55"/>
      <c r="L991" s="55"/>
    </row>
    <row r="992">
      <c r="B992" s="28"/>
      <c r="C992" s="28"/>
      <c r="E992" s="55"/>
      <c r="F992" s="55"/>
      <c r="K992" s="55"/>
      <c r="L992" s="55"/>
    </row>
    <row r="993">
      <c r="B993" s="28"/>
      <c r="C993" s="28"/>
      <c r="E993" s="55"/>
      <c r="F993" s="55"/>
      <c r="K993" s="55"/>
      <c r="L993" s="55"/>
    </row>
    <row r="994">
      <c r="B994" s="28"/>
      <c r="C994" s="28"/>
      <c r="E994" s="55"/>
      <c r="F994" s="55"/>
      <c r="K994" s="55"/>
      <c r="L994" s="55"/>
    </row>
    <row r="995">
      <c r="B995" s="28"/>
      <c r="C995" s="28"/>
      <c r="E995" s="55"/>
      <c r="F995" s="55"/>
      <c r="K995" s="55"/>
      <c r="L995" s="55"/>
    </row>
    <row r="996">
      <c r="B996" s="28"/>
      <c r="C996" s="28"/>
      <c r="E996" s="55"/>
      <c r="F996" s="55"/>
      <c r="K996" s="55"/>
      <c r="L996" s="55"/>
    </row>
    <row r="997">
      <c r="B997" s="28"/>
      <c r="C997" s="28"/>
      <c r="E997" s="55"/>
      <c r="F997" s="55"/>
      <c r="K997" s="55"/>
      <c r="L997" s="55"/>
    </row>
    <row r="998">
      <c r="B998" s="28"/>
      <c r="C998" s="28"/>
      <c r="E998" s="55"/>
      <c r="F998" s="55"/>
      <c r="K998" s="55"/>
      <c r="L998" s="55"/>
    </row>
    <row r="999">
      <c r="B999" s="28"/>
      <c r="C999" s="28"/>
      <c r="E999" s="55"/>
      <c r="F999" s="55"/>
      <c r="K999" s="55"/>
      <c r="L999" s="55"/>
    </row>
    <row r="1000">
      <c r="B1000" s="28"/>
      <c r="C1000" s="28"/>
      <c r="E1000" s="55"/>
      <c r="F1000" s="55"/>
      <c r="K1000" s="55"/>
      <c r="L1000" s="55"/>
    </row>
    <row r="1001">
      <c r="B1001" s="28"/>
      <c r="C1001" s="28"/>
      <c r="E1001" s="55"/>
      <c r="F1001" s="55"/>
      <c r="K1001" s="55"/>
      <c r="L1001" s="55"/>
    </row>
    <row r="1002">
      <c r="B1002" s="28"/>
      <c r="C1002" s="28"/>
      <c r="E1002" s="55"/>
      <c r="F1002" s="55"/>
      <c r="K1002" s="55"/>
      <c r="L1002" s="55"/>
    </row>
    <row r="1003">
      <c r="B1003" s="28"/>
      <c r="C1003" s="28"/>
      <c r="E1003" s="55"/>
      <c r="F1003" s="55"/>
      <c r="K1003" s="55"/>
      <c r="L1003" s="55"/>
    </row>
    <row r="1004">
      <c r="B1004" s="28"/>
      <c r="C1004" s="28"/>
      <c r="E1004" s="55"/>
      <c r="F1004" s="55"/>
      <c r="K1004" s="55"/>
      <c r="L1004" s="55"/>
    </row>
    <row r="1005">
      <c r="B1005" s="28"/>
      <c r="C1005" s="28"/>
      <c r="E1005" s="55"/>
      <c r="F1005" s="55"/>
      <c r="K1005" s="55"/>
      <c r="L1005" s="55"/>
    </row>
    <row r="1006">
      <c r="B1006" s="28"/>
      <c r="C1006" s="28"/>
      <c r="E1006" s="55"/>
      <c r="F1006" s="55"/>
      <c r="K1006" s="55"/>
      <c r="L1006" s="55"/>
    </row>
    <row r="1007">
      <c r="B1007" s="28"/>
      <c r="C1007" s="28"/>
      <c r="E1007" s="55"/>
      <c r="F1007" s="55"/>
      <c r="K1007" s="55"/>
      <c r="L1007" s="55"/>
    </row>
    <row r="1008">
      <c r="B1008" s="28"/>
      <c r="C1008" s="28"/>
      <c r="E1008" s="55"/>
      <c r="F1008" s="55"/>
      <c r="K1008" s="55"/>
      <c r="L1008" s="55"/>
    </row>
    <row r="1009">
      <c r="B1009" s="28"/>
      <c r="C1009" s="28"/>
      <c r="E1009" s="55"/>
      <c r="F1009" s="55"/>
      <c r="K1009" s="55"/>
      <c r="L1009" s="55"/>
    </row>
    <row r="1010">
      <c r="B1010" s="28"/>
      <c r="C1010" s="28"/>
      <c r="E1010" s="55"/>
      <c r="F1010" s="55"/>
      <c r="K1010" s="55"/>
      <c r="L1010" s="55"/>
    </row>
    <row r="1011">
      <c r="B1011" s="28"/>
      <c r="C1011" s="28"/>
      <c r="E1011" s="55"/>
      <c r="F1011" s="55"/>
      <c r="K1011" s="55"/>
      <c r="L1011" s="55"/>
    </row>
    <row r="1012">
      <c r="B1012" s="28"/>
      <c r="C1012" s="28"/>
      <c r="E1012" s="55"/>
      <c r="F1012" s="55"/>
      <c r="K1012" s="55"/>
      <c r="L1012" s="55"/>
    </row>
    <row r="1013">
      <c r="B1013" s="28"/>
      <c r="C1013" s="28"/>
      <c r="E1013" s="55"/>
      <c r="F1013" s="55"/>
      <c r="K1013" s="55"/>
      <c r="L1013" s="55"/>
    </row>
    <row r="1014">
      <c r="B1014" s="28"/>
      <c r="C1014" s="28"/>
      <c r="E1014" s="55"/>
      <c r="F1014" s="55"/>
      <c r="K1014" s="55"/>
      <c r="L1014" s="55"/>
    </row>
    <row r="1015">
      <c r="B1015" s="28"/>
      <c r="C1015" s="28"/>
      <c r="E1015" s="55"/>
      <c r="F1015" s="55"/>
      <c r="K1015" s="55"/>
      <c r="L1015" s="55"/>
    </row>
    <row r="1016">
      <c r="B1016" s="28"/>
      <c r="C1016" s="28"/>
      <c r="E1016" s="55"/>
      <c r="F1016" s="55"/>
      <c r="K1016" s="55"/>
      <c r="L1016" s="55"/>
    </row>
    <row r="1017">
      <c r="B1017" s="28"/>
      <c r="C1017" s="28"/>
      <c r="E1017" s="55"/>
      <c r="F1017" s="55"/>
      <c r="K1017" s="55"/>
      <c r="L1017" s="55"/>
    </row>
    <row r="1018">
      <c r="B1018" s="28"/>
      <c r="C1018" s="28"/>
      <c r="E1018" s="55"/>
      <c r="F1018" s="55"/>
      <c r="K1018" s="55"/>
      <c r="L1018" s="55"/>
    </row>
    <row r="1019">
      <c r="B1019" s="28"/>
      <c r="C1019" s="28"/>
      <c r="E1019" s="55"/>
      <c r="F1019" s="55"/>
      <c r="K1019" s="55"/>
      <c r="L1019" s="55"/>
    </row>
    <row r="1020">
      <c r="B1020" s="28"/>
      <c r="C1020" s="28"/>
      <c r="E1020" s="55"/>
      <c r="F1020" s="55"/>
      <c r="K1020" s="55"/>
      <c r="L1020" s="55"/>
    </row>
    <row r="1021">
      <c r="B1021" s="28"/>
      <c r="C1021" s="28"/>
      <c r="E1021" s="55"/>
      <c r="F1021" s="55"/>
      <c r="K1021" s="55"/>
      <c r="L1021" s="55"/>
    </row>
    <row r="1022">
      <c r="B1022" s="28"/>
      <c r="C1022" s="28"/>
      <c r="E1022" s="55"/>
      <c r="F1022" s="55"/>
      <c r="K1022" s="55"/>
      <c r="L1022" s="55"/>
    </row>
    <row r="1023">
      <c r="B1023" s="28"/>
      <c r="C1023" s="28"/>
      <c r="E1023" s="55"/>
      <c r="F1023" s="55"/>
      <c r="K1023" s="55"/>
      <c r="L1023" s="55"/>
    </row>
    <row r="1024">
      <c r="B1024" s="28"/>
      <c r="C1024" s="28"/>
      <c r="E1024" s="55"/>
      <c r="F1024" s="55"/>
      <c r="K1024" s="55"/>
      <c r="L1024" s="55"/>
    </row>
    <row r="1025">
      <c r="B1025" s="28"/>
      <c r="C1025" s="28"/>
      <c r="E1025" s="55"/>
      <c r="F1025" s="55"/>
      <c r="K1025" s="55"/>
      <c r="L1025" s="55"/>
    </row>
    <row r="1026">
      <c r="B1026" s="28"/>
      <c r="C1026" s="28"/>
      <c r="E1026" s="55"/>
      <c r="F1026" s="55"/>
      <c r="K1026" s="55"/>
      <c r="L1026" s="55"/>
    </row>
    <row r="1027">
      <c r="B1027" s="28"/>
      <c r="C1027" s="28"/>
      <c r="E1027" s="55"/>
      <c r="F1027" s="55"/>
      <c r="K1027" s="55"/>
      <c r="L1027" s="55"/>
    </row>
    <row r="1028">
      <c r="B1028" s="28"/>
      <c r="C1028" s="28"/>
      <c r="E1028" s="55"/>
      <c r="F1028" s="55"/>
      <c r="K1028" s="55"/>
      <c r="L1028" s="55"/>
    </row>
    <row r="1029">
      <c r="B1029" s="28"/>
      <c r="C1029" s="28"/>
      <c r="E1029" s="55"/>
      <c r="F1029" s="55"/>
      <c r="K1029" s="55"/>
      <c r="L1029" s="55"/>
    </row>
    <row r="1030">
      <c r="B1030" s="28"/>
      <c r="C1030" s="28"/>
      <c r="E1030" s="55"/>
      <c r="F1030" s="55"/>
      <c r="K1030" s="55"/>
      <c r="L1030" s="55"/>
    </row>
    <row r="1031">
      <c r="B1031" s="28"/>
      <c r="C1031" s="28"/>
      <c r="E1031" s="55"/>
      <c r="F1031" s="55"/>
      <c r="K1031" s="55"/>
      <c r="L1031" s="55"/>
    </row>
    <row r="1032">
      <c r="B1032" s="28"/>
      <c r="C1032" s="28"/>
      <c r="E1032" s="55"/>
      <c r="F1032" s="55"/>
      <c r="K1032" s="55"/>
      <c r="L1032" s="55"/>
    </row>
    <row r="1033">
      <c r="B1033" s="28"/>
      <c r="C1033" s="28"/>
      <c r="E1033" s="55"/>
      <c r="F1033" s="55"/>
      <c r="K1033" s="55"/>
      <c r="L1033" s="55"/>
    </row>
    <row r="1034">
      <c r="B1034" s="28"/>
      <c r="C1034" s="28"/>
      <c r="E1034" s="55"/>
      <c r="F1034" s="55"/>
      <c r="K1034" s="55"/>
      <c r="L1034" s="55"/>
    </row>
    <row r="1035">
      <c r="B1035" s="28"/>
      <c r="C1035" s="28"/>
      <c r="E1035" s="55"/>
      <c r="F1035" s="55"/>
      <c r="K1035" s="55"/>
      <c r="L1035" s="55"/>
    </row>
    <row r="1036">
      <c r="B1036" s="28"/>
      <c r="C1036" s="28"/>
      <c r="E1036" s="55"/>
      <c r="F1036" s="55"/>
      <c r="K1036" s="55"/>
      <c r="L1036" s="55"/>
    </row>
    <row r="1037">
      <c r="B1037" s="28"/>
      <c r="C1037" s="28"/>
      <c r="E1037" s="55"/>
      <c r="F1037" s="55"/>
      <c r="K1037" s="55"/>
      <c r="L1037" s="55"/>
    </row>
    <row r="1038">
      <c r="B1038" s="28"/>
      <c r="C1038" s="28"/>
      <c r="E1038" s="55"/>
      <c r="F1038" s="55"/>
      <c r="K1038" s="55"/>
      <c r="L1038" s="55"/>
    </row>
  </sheetData>
  <mergeCells count="5">
    <mergeCell ref="A1:C1"/>
    <mergeCell ref="A2:C2"/>
    <mergeCell ref="A3:C3"/>
    <mergeCell ref="D4:H4"/>
    <mergeCell ref="J4:N4"/>
  </mergeCells>
  <hyperlinks>
    <hyperlink r:id="rId2" ref="G6"/>
    <hyperlink r:id="rId3" ref="M6"/>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19.63"/>
    <col customWidth="1" min="2" max="3" width="23.38"/>
    <col customWidth="1" min="4" max="8" width="15.13"/>
    <col customWidth="1" min="10" max="14" width="15.13"/>
  </cols>
  <sheetData>
    <row r="1">
      <c r="A1" s="3" t="s">
        <v>4</v>
      </c>
      <c r="D1" s="4"/>
      <c r="E1" s="5"/>
      <c r="F1" s="5"/>
      <c r="G1" s="4"/>
      <c r="H1" s="4"/>
      <c r="I1" s="6"/>
      <c r="J1" s="6"/>
      <c r="K1" s="7"/>
      <c r="L1" s="7"/>
      <c r="M1" s="6"/>
      <c r="N1" s="6"/>
      <c r="O1" s="6"/>
      <c r="P1" s="6"/>
      <c r="Q1" s="6"/>
      <c r="R1" s="6"/>
      <c r="S1" s="6"/>
      <c r="T1" s="6"/>
      <c r="U1" s="6"/>
      <c r="V1" s="6"/>
      <c r="W1" s="6"/>
      <c r="X1" s="6"/>
      <c r="Y1" s="6"/>
      <c r="Z1" s="6"/>
      <c r="AA1" s="6"/>
      <c r="AB1" s="6"/>
    </row>
    <row r="2">
      <c r="A2" s="3" t="s">
        <v>5</v>
      </c>
      <c r="D2" s="4"/>
      <c r="E2" s="5"/>
      <c r="F2" s="5"/>
      <c r="G2" s="4"/>
      <c r="H2" s="4"/>
      <c r="I2" s="6"/>
      <c r="J2" s="6"/>
      <c r="K2" s="7"/>
      <c r="L2" s="7"/>
      <c r="M2" s="6"/>
      <c r="N2" s="6"/>
      <c r="O2" s="6"/>
      <c r="P2" s="6"/>
      <c r="Q2" s="6"/>
      <c r="R2" s="6"/>
      <c r="S2" s="6"/>
      <c r="T2" s="6"/>
      <c r="U2" s="6"/>
      <c r="V2" s="6"/>
      <c r="W2" s="6"/>
      <c r="X2" s="6"/>
      <c r="Y2" s="6"/>
      <c r="Z2" s="6"/>
      <c r="AA2" s="6"/>
      <c r="AB2" s="6"/>
    </row>
    <row r="3">
      <c r="A3" s="3" t="s">
        <v>161</v>
      </c>
      <c r="D3" s="6"/>
      <c r="E3" s="5"/>
      <c r="F3" s="5"/>
      <c r="G3" s="4"/>
      <c r="H3" s="4"/>
      <c r="I3" s="6"/>
      <c r="J3" s="6"/>
      <c r="K3" s="7"/>
      <c r="L3" s="7"/>
      <c r="M3" s="6"/>
      <c r="N3" s="6"/>
      <c r="O3" s="6"/>
      <c r="P3" s="6"/>
      <c r="Q3" s="6"/>
      <c r="R3" s="6"/>
      <c r="S3" s="6"/>
      <c r="T3" s="6"/>
      <c r="U3" s="6"/>
      <c r="V3" s="6"/>
      <c r="W3" s="6"/>
      <c r="X3" s="6"/>
      <c r="Y3" s="6"/>
      <c r="Z3" s="6"/>
      <c r="AA3" s="6"/>
      <c r="AB3" s="6"/>
    </row>
    <row r="4">
      <c r="B4" s="8"/>
      <c r="C4" s="8"/>
      <c r="D4" s="9" t="s">
        <v>7</v>
      </c>
      <c r="J4" s="10" t="s">
        <v>8</v>
      </c>
    </row>
    <row r="5">
      <c r="B5" s="8"/>
      <c r="C5" s="8"/>
      <c r="D5" s="1" t="s">
        <v>9</v>
      </c>
      <c r="E5" s="12" t="s">
        <v>9</v>
      </c>
      <c r="F5" s="12" t="s">
        <v>9</v>
      </c>
      <c r="G5" s="1" t="s">
        <v>9</v>
      </c>
      <c r="H5" s="1" t="s">
        <v>9</v>
      </c>
      <c r="J5" s="11" t="s">
        <v>9</v>
      </c>
      <c r="K5" s="12" t="s">
        <v>9</v>
      </c>
      <c r="L5" s="13" t="s">
        <v>9</v>
      </c>
      <c r="M5" s="1" t="s">
        <v>9</v>
      </c>
      <c r="N5" s="11" t="s">
        <v>9</v>
      </c>
    </row>
    <row r="6">
      <c r="A6" s="14" t="s">
        <v>10</v>
      </c>
      <c r="B6" s="15" t="s">
        <v>11</v>
      </c>
      <c r="C6" s="15" t="s">
        <v>12</v>
      </c>
      <c r="D6" s="16" t="s">
        <v>13</v>
      </c>
      <c r="E6" s="17" t="s">
        <v>162</v>
      </c>
      <c r="F6" s="18" t="s">
        <v>15</v>
      </c>
      <c r="G6" s="19" t="s">
        <v>163</v>
      </c>
      <c r="H6" s="16" t="s">
        <v>17</v>
      </c>
      <c r="J6" s="16" t="s">
        <v>13</v>
      </c>
      <c r="K6" s="17" t="s">
        <v>14</v>
      </c>
      <c r="L6" s="18" t="s">
        <v>15</v>
      </c>
      <c r="M6" s="19" t="s">
        <v>164</v>
      </c>
      <c r="N6" s="16" t="s">
        <v>17</v>
      </c>
    </row>
    <row r="7">
      <c r="A7" s="20" t="s">
        <v>19</v>
      </c>
      <c r="B7" s="21" t="s">
        <v>20</v>
      </c>
      <c r="C7" s="22"/>
      <c r="D7" s="23"/>
      <c r="E7" s="24"/>
      <c r="F7" s="24"/>
      <c r="G7" s="23"/>
      <c r="H7" s="23"/>
      <c r="J7" s="23"/>
      <c r="K7" s="24"/>
      <c r="L7" s="24"/>
      <c r="M7" s="23"/>
      <c r="N7" s="23"/>
      <c r="O7" s="23"/>
      <c r="P7" s="23"/>
      <c r="Q7" s="23"/>
      <c r="R7" s="23"/>
      <c r="S7" s="23"/>
      <c r="T7" s="23"/>
      <c r="U7" s="23"/>
      <c r="V7" s="23"/>
      <c r="W7" s="23"/>
      <c r="X7" s="23"/>
      <c r="Y7" s="23"/>
      <c r="Z7" s="23"/>
      <c r="AA7" s="23"/>
      <c r="AB7" s="23"/>
    </row>
    <row r="8">
      <c r="A8" s="1" t="s">
        <v>21</v>
      </c>
      <c r="B8" s="8" t="s">
        <v>165</v>
      </c>
      <c r="C8" s="8" t="s">
        <v>23</v>
      </c>
      <c r="D8" s="11">
        <v>13476.0</v>
      </c>
      <c r="E8" s="12">
        <v>11829.01</v>
      </c>
      <c r="F8" s="13">
        <v>11829.01174346</v>
      </c>
      <c r="H8" s="40"/>
      <c r="J8" s="25">
        <v>3819.346</v>
      </c>
      <c r="K8" s="12">
        <v>3173.48012854429</v>
      </c>
      <c r="L8" s="25">
        <v>3173.48012854</v>
      </c>
      <c r="N8" s="27"/>
    </row>
    <row r="9">
      <c r="A9" s="1" t="s">
        <v>25</v>
      </c>
      <c r="B9" s="8" t="s">
        <v>26</v>
      </c>
      <c r="C9" s="28"/>
      <c r="D9" s="13">
        <v>7.009245</v>
      </c>
      <c r="E9" s="12">
        <v>6.446</v>
      </c>
      <c r="F9" s="13">
        <v>6.48</v>
      </c>
      <c r="H9" s="40"/>
      <c r="J9" s="25">
        <v>5.173269</v>
      </c>
      <c r="K9" s="12">
        <v>5.26399999999999</v>
      </c>
      <c r="L9" s="25">
        <v>4.533</v>
      </c>
      <c r="N9" s="27"/>
    </row>
    <row r="10">
      <c r="A10" s="1" t="s">
        <v>28</v>
      </c>
      <c r="B10" s="8" t="s">
        <v>29</v>
      </c>
      <c r="C10" s="8" t="s">
        <v>30</v>
      </c>
      <c r="D10" s="11">
        <v>0.2</v>
      </c>
      <c r="E10" s="12">
        <v>0.196336027683604</v>
      </c>
      <c r="F10" s="13">
        <v>0.2</v>
      </c>
      <c r="H10" s="40"/>
      <c r="J10" s="29">
        <v>0.2</v>
      </c>
      <c r="K10" s="12">
        <v>0.196336027683604</v>
      </c>
      <c r="L10" s="13">
        <v>0.2</v>
      </c>
      <c r="N10" s="27"/>
    </row>
    <row r="11">
      <c r="A11" s="1" t="s">
        <v>31</v>
      </c>
      <c r="B11" s="8" t="s">
        <v>32</v>
      </c>
      <c r="C11" s="8" t="s">
        <v>33</v>
      </c>
      <c r="D11" s="11">
        <v>7.6</v>
      </c>
      <c r="E11" s="12">
        <v>7.6015</v>
      </c>
      <c r="F11" s="13">
        <v>7.61</v>
      </c>
      <c r="H11" s="40"/>
      <c r="J11" s="29">
        <v>7.6</v>
      </c>
      <c r="K11" s="12">
        <v>7.6015</v>
      </c>
      <c r="L11" s="13">
        <v>7.61</v>
      </c>
      <c r="N11" s="27"/>
    </row>
    <row r="12">
      <c r="A12" s="1" t="s">
        <v>34</v>
      </c>
      <c r="B12" s="8" t="s">
        <v>35</v>
      </c>
      <c r="C12" s="8" t="s">
        <v>36</v>
      </c>
      <c r="D12" s="11">
        <v>7.87</v>
      </c>
      <c r="E12" s="12">
        <v>7.87</v>
      </c>
      <c r="F12" s="13">
        <v>7.87</v>
      </c>
      <c r="H12" s="40"/>
      <c r="J12" s="25">
        <v>7.87</v>
      </c>
      <c r="K12" s="12">
        <v>7.87</v>
      </c>
      <c r="L12" s="13">
        <v>7.87</v>
      </c>
      <c r="N12" s="27"/>
    </row>
    <row r="13">
      <c r="A13" s="1" t="s">
        <v>38</v>
      </c>
      <c r="B13" s="8" t="s">
        <v>39</v>
      </c>
      <c r="C13" s="8" t="s">
        <v>40</v>
      </c>
      <c r="D13" s="13">
        <v>427518.2</v>
      </c>
      <c r="E13" s="12">
        <v>427518.213511999</v>
      </c>
      <c r="F13" s="56">
        <f>42.75182135*100*100</f>
        <v>427518.2135</v>
      </c>
      <c r="H13" s="40"/>
      <c r="J13" s="25">
        <v>427518.2</v>
      </c>
      <c r="K13" s="12">
        <v>427518.213511999</v>
      </c>
      <c r="L13" s="56">
        <f>42.75182135*100*100</f>
        <v>427518.2135</v>
      </c>
      <c r="N13" s="27"/>
    </row>
    <row r="14">
      <c r="A14" s="31" t="s">
        <v>42</v>
      </c>
      <c r="B14" s="8" t="s">
        <v>43</v>
      </c>
      <c r="C14" s="8" t="s">
        <v>44</v>
      </c>
      <c r="D14" s="13">
        <v>500.0</v>
      </c>
      <c r="E14" s="12">
        <v>500.0</v>
      </c>
      <c r="F14" s="13">
        <v>500.0</v>
      </c>
      <c r="H14" s="40"/>
      <c r="J14" s="25">
        <v>1.0</v>
      </c>
      <c r="K14" s="12">
        <v>1000.0</v>
      </c>
      <c r="L14" s="13">
        <v>1000.0</v>
      </c>
      <c r="N14" s="27"/>
    </row>
    <row r="15">
      <c r="A15" s="32" t="s">
        <v>46</v>
      </c>
      <c r="B15" s="8" t="s">
        <v>47</v>
      </c>
      <c r="C15" s="8" t="s">
        <v>44</v>
      </c>
      <c r="D15" s="11">
        <v>100.0</v>
      </c>
      <c r="E15" s="12">
        <v>100.0</v>
      </c>
      <c r="F15" s="13">
        <v>100.0</v>
      </c>
      <c r="H15" s="40"/>
      <c r="J15" s="25">
        <v>200.0</v>
      </c>
      <c r="K15" s="1">
        <v>200.0</v>
      </c>
      <c r="L15" s="13">
        <v>200.0</v>
      </c>
      <c r="N15" s="27"/>
    </row>
    <row r="16">
      <c r="A16" s="1" t="s">
        <v>49</v>
      </c>
      <c r="B16" s="8" t="s">
        <v>50</v>
      </c>
      <c r="C16" s="28"/>
      <c r="D16" s="11">
        <v>3.0</v>
      </c>
      <c r="E16" s="12">
        <v>3.0</v>
      </c>
      <c r="F16" s="13">
        <v>3.0</v>
      </c>
      <c r="H16" s="40"/>
      <c r="J16" s="29">
        <v>3.0</v>
      </c>
      <c r="K16" s="12">
        <v>3.0</v>
      </c>
      <c r="L16" s="13">
        <v>3.0</v>
      </c>
      <c r="N16" s="27"/>
    </row>
    <row r="17">
      <c r="A17" s="1" t="s">
        <v>51</v>
      </c>
      <c r="B17" s="8" t="s">
        <v>52</v>
      </c>
      <c r="C17" s="28"/>
      <c r="D17" s="11">
        <v>7.0</v>
      </c>
      <c r="E17" s="12">
        <v>7.0</v>
      </c>
      <c r="F17" s="13">
        <v>7.0</v>
      </c>
      <c r="H17" s="40"/>
      <c r="J17" s="29">
        <v>7.0</v>
      </c>
      <c r="K17" s="12">
        <v>7.0</v>
      </c>
      <c r="L17" s="13">
        <v>7.0</v>
      </c>
      <c r="N17" s="27"/>
    </row>
    <row r="18">
      <c r="A18" s="1" t="s">
        <v>54</v>
      </c>
      <c r="B18" s="8" t="s">
        <v>55</v>
      </c>
      <c r="C18" s="8" t="s">
        <v>56</v>
      </c>
      <c r="D18" s="13">
        <v>8249.895</v>
      </c>
      <c r="E18" s="12">
        <v>8280.0</v>
      </c>
      <c r="F18" s="13">
        <f>0.0958333*86400</f>
        <v>8279.99712</v>
      </c>
      <c r="H18" s="40"/>
      <c r="J18" s="25">
        <v>8249.895</v>
      </c>
      <c r="K18" s="12">
        <v>8280.0</v>
      </c>
      <c r="L18" s="13">
        <f>0.0958333*86400</f>
        <v>8279.99712</v>
      </c>
      <c r="N18" s="27"/>
    </row>
    <row r="19">
      <c r="A19" s="1" t="s">
        <v>57</v>
      </c>
      <c r="B19" s="8" t="s">
        <v>58</v>
      </c>
      <c r="C19" s="28"/>
      <c r="D19" s="11">
        <v>1.1</v>
      </c>
      <c r="E19" s="12">
        <v>1.1</v>
      </c>
      <c r="F19" s="13">
        <v>1.0</v>
      </c>
      <c r="H19" s="40"/>
      <c r="J19" s="25">
        <v>1.1</v>
      </c>
      <c r="K19" s="12">
        <v>1.1</v>
      </c>
      <c r="L19" s="13">
        <v>1.0</v>
      </c>
      <c r="N19" s="27"/>
    </row>
    <row r="20">
      <c r="A20" s="1" t="s">
        <v>59</v>
      </c>
      <c r="B20" s="8" t="s">
        <v>60</v>
      </c>
      <c r="C20" s="8" t="s">
        <v>61</v>
      </c>
      <c r="D20" s="13">
        <v>3.0E-5</v>
      </c>
      <c r="E20" s="12">
        <v>3.0E-5</v>
      </c>
      <c r="F20" s="13">
        <v>3.0E-5</v>
      </c>
      <c r="H20" s="40"/>
      <c r="J20" s="25">
        <v>3.0E-5</v>
      </c>
      <c r="K20" s="12">
        <v>3.0E-5</v>
      </c>
      <c r="L20" s="13">
        <v>3.0E-5</v>
      </c>
      <c r="N20" s="27"/>
      <c r="AA20" s="12"/>
    </row>
    <row r="21">
      <c r="A21" s="1" t="s">
        <v>62</v>
      </c>
      <c r="B21" s="8" t="s">
        <v>63</v>
      </c>
      <c r="C21" s="8" t="s">
        <v>64</v>
      </c>
      <c r="D21" s="13">
        <v>0.0</v>
      </c>
      <c r="E21" s="12">
        <v>0.0</v>
      </c>
      <c r="F21" s="13">
        <v>0.0</v>
      </c>
      <c r="H21" s="40"/>
      <c r="J21" s="25">
        <v>0.0</v>
      </c>
      <c r="K21" s="12">
        <v>0.0</v>
      </c>
      <c r="L21" s="13">
        <v>0.0</v>
      </c>
      <c r="N21" s="27"/>
    </row>
    <row r="22">
      <c r="A22" s="1" t="s">
        <v>65</v>
      </c>
      <c r="B22" s="8" t="s">
        <v>66</v>
      </c>
      <c r="C22" s="8" t="s">
        <v>67</v>
      </c>
      <c r="D22" s="13">
        <v>0.0013</v>
      </c>
      <c r="E22" s="12">
        <v>0.0013</v>
      </c>
      <c r="F22" s="13">
        <v>0.0013</v>
      </c>
      <c r="H22" s="40"/>
      <c r="J22" s="25">
        <v>0.0013</v>
      </c>
      <c r="K22" s="12">
        <v>0.0013</v>
      </c>
      <c r="L22" s="13">
        <v>0.0013</v>
      </c>
      <c r="N22" s="27"/>
    </row>
    <row r="23">
      <c r="A23" s="1" t="s">
        <v>68</v>
      </c>
      <c r="B23" s="8" t="s">
        <v>69</v>
      </c>
      <c r="C23" s="8" t="s">
        <v>56</v>
      </c>
      <c r="D23" s="13">
        <v>1000.0</v>
      </c>
      <c r="E23" s="12" t="s">
        <v>70</v>
      </c>
      <c r="F23" s="56"/>
      <c r="H23" s="40"/>
      <c r="J23" s="25">
        <v>1000.0</v>
      </c>
      <c r="K23" s="12" t="s">
        <v>70</v>
      </c>
      <c r="L23" s="56"/>
      <c r="N23" s="27"/>
    </row>
    <row r="24">
      <c r="A24" s="1" t="s">
        <v>71</v>
      </c>
      <c r="B24" s="8" t="s">
        <v>72</v>
      </c>
      <c r="C24" s="33" t="s">
        <v>73</v>
      </c>
      <c r="D24" s="25">
        <v>6.55225</v>
      </c>
      <c r="E24" s="26">
        <v>6.55</v>
      </c>
      <c r="F24" s="30">
        <f>0.00661157*1000</f>
        <v>6.61157</v>
      </c>
      <c r="G24" s="8"/>
      <c r="H24" s="27"/>
      <c r="I24" s="28"/>
      <c r="J24" s="25">
        <v>6.55225</v>
      </c>
      <c r="K24" s="26">
        <v>0.00655</v>
      </c>
      <c r="L24" s="30">
        <f>0.00661157*1000</f>
        <v>6.61157</v>
      </c>
      <c r="M24" s="28"/>
      <c r="N24" s="27"/>
      <c r="O24" s="28"/>
      <c r="P24" s="28"/>
      <c r="Q24" s="28"/>
      <c r="R24" s="28"/>
      <c r="S24" s="28"/>
      <c r="T24" s="28"/>
      <c r="U24" s="28"/>
    </row>
    <row r="25">
      <c r="A25" s="1" t="s">
        <v>74</v>
      </c>
      <c r="B25" s="8" t="s">
        <v>75</v>
      </c>
      <c r="C25" s="33"/>
      <c r="D25" s="13">
        <v>0.75</v>
      </c>
      <c r="E25" s="12">
        <v>0.75</v>
      </c>
      <c r="F25" s="13">
        <v>0.75</v>
      </c>
      <c r="H25" s="40"/>
      <c r="J25" s="25">
        <v>0.75</v>
      </c>
      <c r="K25" s="12">
        <v>0.75</v>
      </c>
      <c r="L25" s="13">
        <v>1.0</v>
      </c>
      <c r="N25" s="27"/>
    </row>
    <row r="26">
      <c r="A26" s="1" t="s">
        <v>76</v>
      </c>
      <c r="B26" s="8" t="s">
        <v>77</v>
      </c>
      <c r="C26" s="33"/>
      <c r="D26" s="13">
        <v>0.9</v>
      </c>
      <c r="E26" s="12">
        <v>0.9</v>
      </c>
      <c r="F26" s="13">
        <v>0.9</v>
      </c>
      <c r="H26" s="40"/>
      <c r="J26" s="25">
        <v>0.9</v>
      </c>
      <c r="K26" s="12">
        <v>0.9</v>
      </c>
      <c r="L26" s="13">
        <v>0.675</v>
      </c>
      <c r="N26" s="27"/>
    </row>
    <row r="27">
      <c r="A27" s="1" t="s">
        <v>78</v>
      </c>
      <c r="B27" s="8" t="s">
        <v>79</v>
      </c>
      <c r="C27" s="28"/>
      <c r="D27" s="13">
        <v>0.532</v>
      </c>
      <c r="E27" s="12">
        <v>0.532</v>
      </c>
      <c r="F27" s="13">
        <f>0.95*0.56</f>
        <v>0.532</v>
      </c>
      <c r="H27" s="40"/>
      <c r="J27" s="25">
        <v>0.532</v>
      </c>
      <c r="K27" s="12">
        <v>0.532</v>
      </c>
      <c r="L27" s="13">
        <f>0.95*0.56</f>
        <v>0.532</v>
      </c>
      <c r="N27" s="27"/>
    </row>
    <row r="28">
      <c r="A28" s="1" t="s">
        <v>80</v>
      </c>
      <c r="B28" s="8" t="s">
        <v>81</v>
      </c>
      <c r="C28" s="8" t="s">
        <v>82</v>
      </c>
      <c r="D28" s="11">
        <v>135.0</v>
      </c>
      <c r="E28" s="55"/>
      <c r="F28" s="13">
        <v>65.57300298</v>
      </c>
      <c r="H28" s="40"/>
      <c r="J28" s="29">
        <v>135.0</v>
      </c>
      <c r="K28" s="55"/>
      <c r="L28" s="13">
        <v>65.57300298</v>
      </c>
      <c r="N28" s="27"/>
    </row>
    <row r="29">
      <c r="A29" s="1" t="s">
        <v>83</v>
      </c>
      <c r="B29" s="8" t="s">
        <v>84</v>
      </c>
      <c r="C29" s="8" t="s">
        <v>82</v>
      </c>
      <c r="D29" s="11">
        <v>22.8</v>
      </c>
      <c r="E29" s="55"/>
      <c r="F29" s="13">
        <v>22.8</v>
      </c>
      <c r="H29" s="40"/>
      <c r="J29" s="29">
        <v>22.8</v>
      </c>
      <c r="K29" s="55"/>
      <c r="L29" s="13">
        <v>22.8</v>
      </c>
      <c r="N29" s="27"/>
    </row>
    <row r="30">
      <c r="A30" s="35"/>
      <c r="B30" s="36"/>
      <c r="C30" s="28"/>
      <c r="D30" s="40"/>
      <c r="E30" s="55"/>
      <c r="F30" s="56"/>
      <c r="H30" s="40"/>
      <c r="J30" s="27"/>
      <c r="K30" s="55"/>
      <c r="L30" s="30"/>
      <c r="N30" s="27"/>
    </row>
    <row r="31">
      <c r="A31" s="20" t="s">
        <v>85</v>
      </c>
      <c r="B31" s="21" t="s">
        <v>86</v>
      </c>
      <c r="C31" s="22"/>
      <c r="D31" s="23"/>
      <c r="E31" s="24"/>
      <c r="F31" s="24"/>
      <c r="G31" s="23"/>
      <c r="H31" s="23"/>
      <c r="J31" s="23"/>
      <c r="K31" s="24"/>
      <c r="L31" s="24"/>
      <c r="M31" s="23"/>
      <c r="N31" s="23"/>
      <c r="O31" s="23"/>
      <c r="P31" s="23"/>
      <c r="Q31" s="23"/>
      <c r="R31" s="23"/>
      <c r="S31" s="23"/>
      <c r="T31" s="23"/>
      <c r="U31" s="23"/>
      <c r="V31" s="23"/>
      <c r="W31" s="23"/>
      <c r="X31" s="23"/>
      <c r="Y31" s="23"/>
      <c r="Z31" s="23"/>
      <c r="AA31" s="23"/>
      <c r="AB31" s="23"/>
    </row>
    <row r="32">
      <c r="A32" s="1" t="s">
        <v>87</v>
      </c>
      <c r="B32" s="8" t="s">
        <v>88</v>
      </c>
      <c r="C32" s="8" t="s">
        <v>23</v>
      </c>
      <c r="D32" s="13">
        <v>21.17775</v>
      </c>
      <c r="E32" s="12">
        <v>21.75</v>
      </c>
      <c r="F32" s="13">
        <f>21076245.8209046/100/100/100</f>
        <v>21.07624582</v>
      </c>
      <c r="H32" s="40"/>
      <c r="J32" s="13">
        <v>32.55977</v>
      </c>
      <c r="K32" s="12">
        <v>34.19794426</v>
      </c>
      <c r="L32" s="13">
        <v>34.3787077</v>
      </c>
      <c r="N32" s="40"/>
    </row>
    <row r="33">
      <c r="A33" s="1" t="s">
        <v>90</v>
      </c>
      <c r="B33" s="8" t="s">
        <v>91</v>
      </c>
      <c r="C33" s="8" t="s">
        <v>23</v>
      </c>
      <c r="D33" s="13">
        <v>1.252393E-8</v>
      </c>
      <c r="E33" s="12">
        <v>1.28E-8</v>
      </c>
      <c r="F33" s="56">
        <f>F32*10^(-0.4*23.09404512)</f>
        <v>0.00000001219481475</v>
      </c>
      <c r="H33" s="40"/>
      <c r="J33" s="13">
        <v>1.925494E-8</v>
      </c>
      <c r="K33" s="12">
        <v>2.01425892E-8</v>
      </c>
      <c r="L33" s="13">
        <v>1.98916816E-8</v>
      </c>
      <c r="N33" s="40"/>
    </row>
    <row r="34">
      <c r="A34" s="1" t="s">
        <v>93</v>
      </c>
      <c r="B34" s="8" t="s">
        <v>94</v>
      </c>
      <c r="C34" s="8" t="s">
        <v>95</v>
      </c>
      <c r="D34" s="13">
        <v>7.564619E-6</v>
      </c>
      <c r="E34" s="12">
        <v>7.46E-6</v>
      </c>
      <c r="F34" s="13">
        <v>1.24379649E-5</v>
      </c>
      <c r="H34" s="40"/>
      <c r="J34" s="13">
        <v>6.982719E-6</v>
      </c>
      <c r="K34" s="58">
        <v>2.00233059466696E-6</v>
      </c>
      <c r="L34" s="13">
        <v>1.14811984E-5</v>
      </c>
      <c r="N34" s="40"/>
      <c r="AA34" s="12"/>
    </row>
    <row r="35">
      <c r="A35" s="1" t="s">
        <v>96</v>
      </c>
      <c r="B35" s="8" t="s">
        <v>97</v>
      </c>
      <c r="C35" s="8" t="s">
        <v>95</v>
      </c>
      <c r="D35" s="13">
        <v>2.540825E-5</v>
      </c>
      <c r="E35" s="12">
        <v>5.62431605572512E-5</v>
      </c>
      <c r="F35" s="13">
        <v>3.5792797E-5</v>
      </c>
      <c r="H35" s="40"/>
      <c r="J35" s="43">
        <v>3.906396E-5</v>
      </c>
      <c r="K35" s="43">
        <v>1.50888811564214E-5</v>
      </c>
      <c r="L35" s="43">
        <v>8.02499902E-6</v>
      </c>
      <c r="N35" s="40"/>
      <c r="AA35" s="12"/>
    </row>
    <row r="36">
      <c r="B36" s="28"/>
      <c r="C36" s="28"/>
      <c r="D36" s="40"/>
      <c r="E36" s="55"/>
      <c r="F36" s="56"/>
      <c r="H36" s="40"/>
      <c r="J36" s="40"/>
      <c r="K36" s="45"/>
      <c r="L36" s="40"/>
      <c r="N36" s="40"/>
    </row>
    <row r="37">
      <c r="A37" s="20" t="s">
        <v>98</v>
      </c>
      <c r="B37" s="21" t="s">
        <v>99</v>
      </c>
      <c r="C37" s="22"/>
      <c r="D37" s="23"/>
      <c r="E37" s="24"/>
      <c r="F37" s="24"/>
      <c r="G37" s="23"/>
      <c r="H37" s="23"/>
      <c r="J37" s="23"/>
      <c r="K37" s="24"/>
      <c r="L37" s="24"/>
      <c r="M37" s="23"/>
      <c r="N37" s="23"/>
      <c r="O37" s="23"/>
      <c r="P37" s="23"/>
      <c r="Q37" s="23"/>
      <c r="R37" s="23"/>
      <c r="S37" s="23"/>
      <c r="T37" s="23"/>
      <c r="U37" s="23"/>
      <c r="V37" s="23"/>
      <c r="W37" s="23"/>
      <c r="X37" s="23"/>
      <c r="Y37" s="23"/>
      <c r="Z37" s="23"/>
      <c r="AA37" s="23"/>
      <c r="AB37" s="23"/>
    </row>
    <row r="38">
      <c r="A38" s="1" t="s">
        <v>100</v>
      </c>
      <c r="B38" s="8" t="s">
        <v>101</v>
      </c>
      <c r="C38" s="33" t="s">
        <v>102</v>
      </c>
      <c r="D38" s="13">
        <v>4.442144</v>
      </c>
      <c r="E38" s="12">
        <v>4.44809086</v>
      </c>
      <c r="F38" s="56">
        <f>0.05876657/(0.0000005/7.87*180/PI()*3600)</f>
        <v>4.484457764</v>
      </c>
      <c r="H38" s="40"/>
      <c r="J38" s="25">
        <v>2.221072</v>
      </c>
      <c r="K38" s="12">
        <v>2.22404543</v>
      </c>
      <c r="L38" s="25">
        <v>2.24222887</v>
      </c>
      <c r="N38" s="27"/>
    </row>
    <row r="39">
      <c r="A39" s="32" t="s">
        <v>103</v>
      </c>
      <c r="B39" s="8" t="s">
        <v>104</v>
      </c>
      <c r="C39" s="33" t="s">
        <v>105</v>
      </c>
      <c r="D39" s="13">
        <v>2.26028</v>
      </c>
      <c r="E39" s="12">
        <v>2.25647</v>
      </c>
      <c r="F39" s="13">
        <f>0.00039544/(0.0000005/7.87*180/PI()*3600)^2</f>
        <v>2.302712864</v>
      </c>
      <c r="H39" s="40"/>
      <c r="J39" s="25">
        <v>2.261981</v>
      </c>
      <c r="K39" s="12">
        <v>2.25647</v>
      </c>
      <c r="L39" s="25">
        <v>2.30272793</v>
      </c>
      <c r="N39" s="27"/>
    </row>
    <row r="40">
      <c r="A40" s="1" t="s">
        <v>106</v>
      </c>
      <c r="B40" s="8" t="s">
        <v>107</v>
      </c>
      <c r="C40" s="33"/>
      <c r="D40" s="13">
        <v>0.2843119</v>
      </c>
      <c r="E40" s="12">
        <v>0.28968389</v>
      </c>
      <c r="F40" s="13">
        <v>0.29109095</v>
      </c>
      <c r="H40" s="40"/>
      <c r="J40" s="25">
        <v>0.1223112</v>
      </c>
      <c r="K40" s="12">
        <v>0.10644134</v>
      </c>
      <c r="L40" s="25">
        <v>0.10881356</v>
      </c>
      <c r="N40" s="27"/>
    </row>
    <row r="41">
      <c r="A41" s="1" t="s">
        <v>108</v>
      </c>
      <c r="B41" s="8" t="s">
        <v>109</v>
      </c>
      <c r="C41" s="57" t="s">
        <v>110</v>
      </c>
      <c r="D41" s="13">
        <v>9.288756E-14</v>
      </c>
      <c r="E41" s="12">
        <v>8.55969555E-14</v>
      </c>
      <c r="F41" s="13">
        <v>6.48761659E-14</v>
      </c>
      <c r="H41" s="40"/>
      <c r="J41" s="25">
        <v>1.930781E-13</v>
      </c>
      <c r="K41" s="12">
        <v>2.21774957E-13</v>
      </c>
      <c r="L41" s="25">
        <v>2.11170887E-13</v>
      </c>
      <c r="N41" s="27"/>
    </row>
    <row r="42">
      <c r="A42" s="1" t="s">
        <v>111</v>
      </c>
      <c r="B42" s="8" t="s">
        <v>112</v>
      </c>
      <c r="C42" s="31" t="s">
        <v>110</v>
      </c>
      <c r="D42" s="13">
        <v>8.899618</v>
      </c>
      <c r="E42" s="12">
        <v>8.9317351</v>
      </c>
      <c r="F42" s="13">
        <v>8.9616136</v>
      </c>
      <c r="H42" s="40"/>
      <c r="J42" s="25">
        <v>5.50273</v>
      </c>
      <c r="K42" s="12">
        <v>4.95859739</v>
      </c>
      <c r="L42" s="25">
        <v>5.03164848</v>
      </c>
      <c r="N42" s="27"/>
    </row>
    <row r="43">
      <c r="A43" s="1" t="s">
        <v>113</v>
      </c>
      <c r="B43" s="8" t="s">
        <v>114</v>
      </c>
      <c r="C43" s="28"/>
      <c r="D43" s="13">
        <v>9.041119</v>
      </c>
      <c r="E43" s="12">
        <v>9.04620967</v>
      </c>
      <c r="F43" s="13">
        <v>9.04636774</v>
      </c>
      <c r="H43" s="40"/>
      <c r="J43" s="25">
        <v>36.1917</v>
      </c>
      <c r="K43" s="12">
        <v>36.18483868</v>
      </c>
      <c r="L43" s="25">
        <v>36.18547095</v>
      </c>
      <c r="N43" s="27"/>
    </row>
    <row r="44">
      <c r="A44" s="1" t="s">
        <v>115</v>
      </c>
      <c r="B44" s="8" t="s">
        <v>116</v>
      </c>
      <c r="C44" s="28"/>
      <c r="D44" s="25">
        <v>2.789551</v>
      </c>
      <c r="E44" s="26">
        <v>2.78907</v>
      </c>
      <c r="F44" s="25">
        <v>2.78907</v>
      </c>
      <c r="G44" s="28"/>
      <c r="H44" s="27"/>
      <c r="I44" s="28"/>
      <c r="J44" s="25">
        <v>3.00703</v>
      </c>
      <c r="K44" s="26">
        <v>3.006357</v>
      </c>
      <c r="L44" s="25">
        <v>3.006357</v>
      </c>
      <c r="M44" s="28"/>
      <c r="N44" s="27"/>
      <c r="O44" s="28"/>
      <c r="P44" s="28"/>
      <c r="Q44" s="28"/>
      <c r="R44" s="28"/>
      <c r="S44" s="28"/>
      <c r="T44" s="28"/>
      <c r="U44" s="28"/>
    </row>
    <row r="45">
      <c r="A45" s="1" t="s">
        <v>117</v>
      </c>
      <c r="B45" s="8" t="s">
        <v>118</v>
      </c>
      <c r="C45" s="8" t="s">
        <v>119</v>
      </c>
      <c r="D45" s="27"/>
      <c r="E45" s="34"/>
      <c r="F45" s="30"/>
      <c r="G45" s="28"/>
      <c r="H45" s="27"/>
      <c r="I45" s="28"/>
      <c r="J45" s="27"/>
      <c r="K45" s="34"/>
      <c r="L45" s="30"/>
      <c r="M45" s="28"/>
      <c r="N45" s="27"/>
      <c r="O45" s="28"/>
      <c r="P45" s="28"/>
      <c r="Q45" s="28"/>
      <c r="R45" s="28"/>
      <c r="S45" s="28"/>
      <c r="T45" s="28"/>
      <c r="U45" s="28"/>
    </row>
    <row r="46">
      <c r="A46" s="1" t="s">
        <v>120</v>
      </c>
      <c r="B46" s="8" t="s">
        <v>121</v>
      </c>
      <c r="C46" s="28"/>
      <c r="D46" s="25">
        <v>0.0</v>
      </c>
      <c r="E46" s="34"/>
      <c r="F46" s="30"/>
      <c r="G46" s="28"/>
      <c r="H46" s="27"/>
      <c r="I46" s="28"/>
      <c r="J46" s="25">
        <v>0.0</v>
      </c>
      <c r="K46" s="34"/>
      <c r="L46" s="30"/>
      <c r="M46" s="28"/>
      <c r="N46" s="27"/>
      <c r="O46" s="28"/>
      <c r="P46" s="28"/>
      <c r="Q46" s="28"/>
      <c r="R46" s="28"/>
      <c r="S46" s="28"/>
      <c r="T46" s="28"/>
      <c r="U46" s="28"/>
    </row>
    <row r="47">
      <c r="A47" s="1" t="s">
        <v>122</v>
      </c>
      <c r="B47" s="8" t="s">
        <v>123</v>
      </c>
      <c r="C47" s="33" t="s">
        <v>102</v>
      </c>
      <c r="D47" s="29">
        <v>540750.41</v>
      </c>
      <c r="E47" s="34"/>
      <c r="F47" s="30"/>
      <c r="G47" s="28"/>
      <c r="H47" s="27"/>
      <c r="I47" s="28"/>
      <c r="J47" s="29">
        <v>270375.2</v>
      </c>
      <c r="K47" s="34"/>
      <c r="L47" s="30"/>
      <c r="M47" s="28"/>
      <c r="N47" s="27"/>
      <c r="O47" s="28"/>
      <c r="P47" s="28"/>
      <c r="Q47" s="28"/>
      <c r="R47" s="28"/>
      <c r="S47" s="28"/>
      <c r="T47" s="28"/>
      <c r="U47" s="28"/>
    </row>
    <row r="48">
      <c r="B48" s="28"/>
      <c r="C48" s="28"/>
      <c r="D48" s="40"/>
      <c r="E48" s="55"/>
      <c r="F48" s="56"/>
      <c r="H48" s="40"/>
      <c r="J48" s="27"/>
      <c r="K48" s="55"/>
      <c r="L48" s="30"/>
      <c r="N48" s="27"/>
    </row>
    <row r="49">
      <c r="A49" s="20" t="s">
        <v>124</v>
      </c>
      <c r="B49" s="21" t="s">
        <v>125</v>
      </c>
      <c r="C49" s="46"/>
      <c r="D49" s="23"/>
      <c r="E49" s="24"/>
      <c r="F49" s="24"/>
      <c r="G49" s="23"/>
      <c r="H49" s="23"/>
      <c r="J49" s="23"/>
      <c r="K49" s="24"/>
      <c r="L49" s="24"/>
      <c r="M49" s="23"/>
      <c r="N49" s="23"/>
      <c r="O49" s="23"/>
      <c r="P49" s="23"/>
      <c r="Q49" s="23"/>
      <c r="R49" s="23"/>
      <c r="S49" s="23"/>
      <c r="T49" s="23"/>
      <c r="U49" s="23"/>
      <c r="V49" s="23"/>
      <c r="W49" s="23"/>
      <c r="X49" s="23"/>
      <c r="Y49" s="23"/>
      <c r="Z49" s="23"/>
      <c r="AA49" s="23"/>
      <c r="AB49" s="23"/>
    </row>
    <row r="50">
      <c r="A50" s="47" t="s">
        <v>126</v>
      </c>
      <c r="B50" s="48"/>
      <c r="C50" s="48"/>
      <c r="D50" s="49">
        <f t="shared" ref="D50:H50" si="1">D33*D13*D40*D27*D26*D25*D15</f>
        <v>0.05466453803</v>
      </c>
      <c r="E50" s="49">
        <f t="shared" si="1"/>
        <v>0.05692517051</v>
      </c>
      <c r="F50" s="49">
        <f t="shared" si="1"/>
        <v>0.0544971684</v>
      </c>
      <c r="G50" s="50">
        <f t="shared" si="1"/>
        <v>0</v>
      </c>
      <c r="H50" s="50">
        <f t="shared" si="1"/>
        <v>0</v>
      </c>
      <c r="I50" s="28"/>
      <c r="J50" s="49">
        <f t="shared" ref="J50:N50" si="2">J33*J13*J40*J27*J26*J25*J15</f>
        <v>0.07231167233</v>
      </c>
      <c r="K50" s="49">
        <f t="shared" si="2"/>
        <v>0.06583027227</v>
      </c>
      <c r="L50" s="49">
        <f t="shared" si="2"/>
        <v>0.06645911299</v>
      </c>
      <c r="M50" s="50">
        <f t="shared" si="2"/>
        <v>0</v>
      </c>
      <c r="N50" s="50">
        <f t="shared" si="2"/>
        <v>0</v>
      </c>
      <c r="O50" s="28"/>
      <c r="P50" s="28"/>
      <c r="Q50" s="28"/>
      <c r="R50" s="28"/>
      <c r="S50" s="28"/>
      <c r="T50" s="28"/>
      <c r="U50" s="28"/>
    </row>
    <row r="51">
      <c r="A51" s="1" t="s">
        <v>127</v>
      </c>
      <c r="B51" s="8" t="s">
        <v>128</v>
      </c>
      <c r="C51" s="8" t="s">
        <v>129</v>
      </c>
      <c r="D51" s="13">
        <v>0.05466453</v>
      </c>
      <c r="E51" s="12">
        <v>0.05696432</v>
      </c>
      <c r="F51" s="13">
        <v>0.05449717</v>
      </c>
      <c r="H51" s="40"/>
      <c r="J51" s="25">
        <v>0.07231165</v>
      </c>
      <c r="K51" s="12">
        <v>0.06583027</v>
      </c>
      <c r="L51" s="25">
        <v>0.06645912</v>
      </c>
      <c r="N51" s="27"/>
    </row>
    <row r="52">
      <c r="A52" s="47" t="s">
        <v>130</v>
      </c>
      <c r="B52" s="48"/>
      <c r="C52" s="48"/>
      <c r="D52" s="51">
        <f t="shared" ref="D52:H52" si="3">D32*D41*D39*D13*D27*D26*D25*D15</f>
        <v>0.0000682605255</v>
      </c>
      <c r="E52" s="51">
        <f t="shared" si="3"/>
        <v>0.00006449368172</v>
      </c>
      <c r="F52" s="51">
        <f t="shared" si="3"/>
        <v>0.00004833795187</v>
      </c>
      <c r="G52" s="51">
        <f t="shared" si="3"/>
        <v>0</v>
      </c>
      <c r="H52" s="51">
        <f t="shared" si="3"/>
        <v>0</v>
      </c>
      <c r="I52" s="26"/>
      <c r="J52" s="51">
        <f t="shared" ref="J52:N52" si="4">J32*J41*J39*J13*J27*J26*J25*J15</f>
        <v>0.0004366196792</v>
      </c>
      <c r="K52" s="51">
        <f t="shared" si="4"/>
        <v>0.0005254629385</v>
      </c>
      <c r="L52" s="51">
        <f t="shared" si="4"/>
        <v>0.0005132940649</v>
      </c>
      <c r="M52" s="51">
        <f t="shared" si="4"/>
        <v>0</v>
      </c>
      <c r="N52" s="51">
        <f t="shared" si="4"/>
        <v>0</v>
      </c>
      <c r="O52" s="28"/>
      <c r="P52" s="28"/>
      <c r="Q52" s="28"/>
      <c r="R52" s="28"/>
      <c r="S52" s="28"/>
      <c r="T52" s="28"/>
      <c r="U52" s="28"/>
    </row>
    <row r="53">
      <c r="A53" s="1" t="s">
        <v>131</v>
      </c>
      <c r="B53" s="8" t="s">
        <v>132</v>
      </c>
      <c r="C53" s="8" t="s">
        <v>129</v>
      </c>
      <c r="D53" s="13">
        <v>6.826052E-5</v>
      </c>
      <c r="E53" s="12">
        <v>6.45847583970687E-5</v>
      </c>
      <c r="F53" s="13">
        <v>4.83383186E-5</v>
      </c>
      <c r="H53" s="40"/>
      <c r="J53" s="25">
        <v>4.366197E-4</v>
      </c>
      <c r="K53" s="12">
        <v>5.26284968366641E-4</v>
      </c>
      <c r="L53" s="25">
        <v>5.1329E-4</v>
      </c>
      <c r="N53" s="27"/>
    </row>
    <row r="54">
      <c r="A54" s="1" t="s">
        <v>133</v>
      </c>
      <c r="B54" s="8" t="s">
        <v>134</v>
      </c>
      <c r="C54" s="8" t="s">
        <v>129</v>
      </c>
      <c r="D54" s="13">
        <v>0.0250733</v>
      </c>
      <c r="E54" s="58">
        <v>0.0248246760971114</v>
      </c>
      <c r="F54" s="13">
        <v>0.0422931</v>
      </c>
      <c r="H54" s="40"/>
      <c r="J54" s="25">
        <v>0.1145705</v>
      </c>
      <c r="K54" s="12">
        <v>0.0295790288663588</v>
      </c>
      <c r="L54" s="25">
        <v>0.17535633</v>
      </c>
      <c r="N54" s="27"/>
    </row>
    <row r="55">
      <c r="A55" s="1" t="s">
        <v>135</v>
      </c>
      <c r="B55" s="8" t="s">
        <v>136</v>
      </c>
      <c r="C55" s="8" t="s">
        <v>129</v>
      </c>
      <c r="D55" s="13">
        <v>0.08421688</v>
      </c>
      <c r="E55" s="12">
        <v>0.187070301164863</v>
      </c>
      <c r="F55" s="13">
        <v>0.12115161</v>
      </c>
      <c r="H55" s="40"/>
      <c r="J55" s="25">
        <v>0.6409504</v>
      </c>
      <c r="K55" s="12">
        <v>0.222897483799911</v>
      </c>
      <c r="L55" s="25">
        <v>0.14599251</v>
      </c>
      <c r="N55" s="27"/>
    </row>
    <row r="56">
      <c r="A56" s="1" t="s">
        <v>137</v>
      </c>
      <c r="B56" s="8" t="s">
        <v>138</v>
      </c>
      <c r="C56" s="8" t="s">
        <v>129</v>
      </c>
      <c r="D56" s="13">
        <v>0.0</v>
      </c>
      <c r="E56" s="12">
        <v>0.0</v>
      </c>
      <c r="F56" s="13">
        <v>0.0</v>
      </c>
      <c r="H56" s="40"/>
      <c r="J56" s="25">
        <v>0.0</v>
      </c>
      <c r="K56" s="12">
        <v>0.0</v>
      </c>
      <c r="L56" s="25">
        <v>0.0</v>
      </c>
      <c r="N56" s="27"/>
    </row>
    <row r="57">
      <c r="A57" s="1" t="s">
        <v>139</v>
      </c>
      <c r="B57" s="8" t="s">
        <v>140</v>
      </c>
      <c r="C57" s="8" t="s">
        <v>129</v>
      </c>
      <c r="D57" s="13">
        <v>0.004484619</v>
      </c>
      <c r="E57" s="12">
        <v>0.00448787</v>
      </c>
      <c r="F57" s="13">
        <v>0.00448795</v>
      </c>
      <c r="H57" s="40"/>
      <c r="J57" s="25">
        <v>0.01673215</v>
      </c>
      <c r="K57" s="12">
        <v>0.01673249</v>
      </c>
      <c r="L57" s="25">
        <v>0.0167328</v>
      </c>
      <c r="N57" s="27"/>
    </row>
    <row r="58">
      <c r="A58" s="1" t="s">
        <v>141</v>
      </c>
      <c r="B58" s="8" t="s">
        <v>142</v>
      </c>
      <c r="C58" s="8" t="s">
        <v>129</v>
      </c>
      <c r="D58" s="13">
        <v>1.979555E-6</v>
      </c>
      <c r="E58" s="12">
        <v>1.87295799351499E-6</v>
      </c>
      <c r="F58" s="13">
        <v>1.40181124E-6</v>
      </c>
      <c r="H58" s="40"/>
      <c r="J58" s="25">
        <v>1.266197E-5</v>
      </c>
      <c r="K58" s="12">
        <v>1.52622640826326E-5</v>
      </c>
      <c r="L58" s="25">
        <v>1.48855434E-5</v>
      </c>
      <c r="N58" s="27"/>
    </row>
    <row r="59">
      <c r="B59" s="28"/>
      <c r="C59" s="28"/>
      <c r="D59" s="40"/>
      <c r="E59" s="55"/>
      <c r="F59" s="56"/>
      <c r="H59" s="40"/>
      <c r="J59" s="27"/>
      <c r="K59" s="53"/>
      <c r="L59" s="27"/>
      <c r="N59" s="27"/>
    </row>
    <row r="60">
      <c r="A60" s="20" t="s">
        <v>166</v>
      </c>
      <c r="B60" s="22"/>
      <c r="C60" s="22"/>
      <c r="D60" s="23"/>
      <c r="E60" s="24"/>
      <c r="F60" s="24"/>
      <c r="G60" s="23"/>
      <c r="H60" s="23"/>
      <c r="J60" s="23"/>
      <c r="K60" s="24"/>
      <c r="L60" s="24"/>
      <c r="M60" s="23"/>
      <c r="N60" s="23"/>
      <c r="O60" s="23"/>
      <c r="P60" s="23"/>
      <c r="Q60" s="23"/>
      <c r="R60" s="23"/>
      <c r="S60" s="23"/>
      <c r="T60" s="23"/>
      <c r="U60" s="23"/>
      <c r="V60" s="23"/>
      <c r="W60" s="23"/>
      <c r="X60" s="23"/>
      <c r="Y60" s="23"/>
      <c r="Z60" s="23"/>
      <c r="AA60" s="23"/>
      <c r="AB60" s="23"/>
    </row>
    <row r="61">
      <c r="A61" s="47" t="s">
        <v>144</v>
      </c>
      <c r="B61" s="48"/>
      <c r="C61" s="48"/>
      <c r="D61" s="51">
        <f t="shared" ref="D61:H61" si="5">D17^2*(D51+2*sum(D53:D57))/(D51^2-D17^2*D58^2)</f>
        <v>4629.92186</v>
      </c>
      <c r="E61" s="51">
        <f t="shared" si="5"/>
        <v>7397.100562</v>
      </c>
      <c r="F61" s="51">
        <f t="shared" si="5"/>
        <v>6442.045926</v>
      </c>
      <c r="G61" s="51" t="str">
        <f t="shared" si="5"/>
        <v>#DIV/0!</v>
      </c>
      <c r="H61" s="51" t="str">
        <f t="shared" si="5"/>
        <v>#DIV/0!</v>
      </c>
      <c r="I61" s="26"/>
      <c r="J61" s="51">
        <f t="shared" ref="J61:N61" si="6">J17^2*(J51+2*sum(J53:J57))/(J51^2-J17^2*J58^2)</f>
        <v>15159.18162</v>
      </c>
      <c r="K61" s="51">
        <f t="shared" si="6"/>
        <v>6844.113949</v>
      </c>
      <c r="L61" s="51">
        <f t="shared" si="6"/>
        <v>8250.038237</v>
      </c>
      <c r="M61" s="51" t="str">
        <f t="shared" si="6"/>
        <v>#DIV/0!</v>
      </c>
      <c r="N61" s="51" t="str">
        <f t="shared" si="6"/>
        <v>#DIV/0!</v>
      </c>
      <c r="O61" s="26"/>
      <c r="P61" s="28"/>
      <c r="Q61" s="28"/>
      <c r="R61" s="28"/>
      <c r="S61" s="28"/>
      <c r="T61" s="28"/>
      <c r="U61" s="28"/>
    </row>
    <row r="62">
      <c r="A62" s="47" t="s">
        <v>145</v>
      </c>
      <c r="B62" s="50"/>
      <c r="C62" s="50"/>
      <c r="D62" s="54">
        <f t="shared" ref="D62:H62" si="7">D17^2*(sum(D53:D57))/(D51^2-D17^2*D58^2)</f>
        <v>1866.772652</v>
      </c>
      <c r="E62" s="54">
        <f t="shared" si="7"/>
        <v>3268.456473</v>
      </c>
      <c r="F62" s="54">
        <f t="shared" si="7"/>
        <v>2771.45832</v>
      </c>
      <c r="G62" s="54" t="str">
        <f t="shared" si="7"/>
        <v>#DIV/0!</v>
      </c>
      <c r="H62" s="54" t="str">
        <f t="shared" si="7"/>
        <v>#DIV/0!</v>
      </c>
      <c r="I62" s="55"/>
      <c r="J62" s="54">
        <f t="shared" ref="J62:N62" si="8">J17^2*(sum(J53:J57))/(J51^2-J17^2*J58^2)</f>
        <v>7240.77906</v>
      </c>
      <c r="K62" s="54">
        <f t="shared" si="8"/>
        <v>3049.886778</v>
      </c>
      <c r="L62" s="54">
        <f t="shared" si="8"/>
        <v>3756.370538</v>
      </c>
      <c r="M62" s="54" t="str">
        <f t="shared" si="8"/>
        <v>#DIV/0!</v>
      </c>
      <c r="N62" s="54" t="str">
        <f t="shared" si="8"/>
        <v>#DIV/0!</v>
      </c>
      <c r="O62" s="45"/>
      <c r="P62" s="45"/>
      <c r="Q62" s="45"/>
      <c r="R62" s="45"/>
      <c r="S62" s="45"/>
      <c r="T62" s="45"/>
      <c r="U62" s="45"/>
      <c r="V62" s="45"/>
      <c r="W62" s="45"/>
      <c r="X62" s="45"/>
      <c r="Y62" s="45"/>
      <c r="Z62" s="45"/>
      <c r="AA62" s="45"/>
      <c r="AB62" s="45"/>
    </row>
    <row r="63">
      <c r="A63" s="1" t="s">
        <v>146</v>
      </c>
      <c r="B63" s="8" t="s">
        <v>147</v>
      </c>
      <c r="C63" s="8" t="s">
        <v>56</v>
      </c>
      <c r="D63" s="13">
        <v>4629.922</v>
      </c>
      <c r="E63" s="12">
        <v>3268.45654444604</v>
      </c>
      <c r="F63" s="13">
        <v>2765.77574855</v>
      </c>
      <c r="H63" s="40"/>
      <c r="J63" s="13">
        <v>15159.17</v>
      </c>
      <c r="K63" s="12">
        <v>3049.88663106911</v>
      </c>
      <c r="L63" s="13">
        <v>3756.37098443</v>
      </c>
      <c r="N63" s="40"/>
    </row>
    <row r="64">
      <c r="A64" s="1" t="s">
        <v>149</v>
      </c>
      <c r="B64" s="8" t="s">
        <v>150</v>
      </c>
      <c r="C64" s="8" t="s">
        <v>56</v>
      </c>
      <c r="D64" s="13">
        <v>13342.81</v>
      </c>
      <c r="E64" s="12">
        <v>11875.3021988906</v>
      </c>
      <c r="F64" s="13">
        <v>11045.77286855</v>
      </c>
      <c r="H64" s="40"/>
      <c r="J64" s="13">
        <v>24924.99</v>
      </c>
      <c r="K64" s="12">
        <v>11634.875294176</v>
      </c>
      <c r="L64" s="13">
        <v>12036.36810443</v>
      </c>
      <c r="N64" s="40"/>
    </row>
    <row r="65">
      <c r="B65" s="28"/>
      <c r="C65" s="28"/>
      <c r="E65" s="55"/>
      <c r="F65" s="55"/>
      <c r="K65" s="55"/>
      <c r="L65" s="55"/>
    </row>
    <row r="66">
      <c r="B66" s="28"/>
      <c r="C66" s="28"/>
      <c r="E66" s="55"/>
      <c r="F66" s="55"/>
      <c r="K66" s="55"/>
      <c r="L66" s="55"/>
    </row>
    <row r="67">
      <c r="B67" s="28"/>
      <c r="C67" s="28"/>
      <c r="E67" s="55"/>
      <c r="F67" s="55"/>
      <c r="K67" s="55"/>
      <c r="L67" s="55"/>
    </row>
    <row r="68">
      <c r="B68" s="28"/>
      <c r="C68" s="28"/>
      <c r="E68" s="55"/>
      <c r="F68" s="55"/>
      <c r="K68" s="55"/>
      <c r="L68" s="55"/>
    </row>
    <row r="69">
      <c r="B69" s="28"/>
      <c r="C69" s="28"/>
      <c r="E69" s="55"/>
      <c r="F69" s="55"/>
      <c r="K69" s="55"/>
      <c r="L69" s="55"/>
    </row>
    <row r="70">
      <c r="B70" s="28"/>
      <c r="C70" s="28"/>
      <c r="E70" s="55"/>
      <c r="F70" s="55"/>
      <c r="K70" s="55"/>
      <c r="L70" s="55"/>
    </row>
    <row r="71">
      <c r="B71" s="28"/>
      <c r="C71" s="28"/>
      <c r="E71" s="55"/>
      <c r="F71" s="55"/>
      <c r="K71" s="55"/>
      <c r="L71" s="55"/>
    </row>
    <row r="72">
      <c r="B72" s="28"/>
      <c r="C72" s="28"/>
      <c r="E72" s="55"/>
      <c r="F72" s="55"/>
      <c r="K72" s="55"/>
      <c r="L72" s="55"/>
    </row>
    <row r="73">
      <c r="B73" s="28"/>
      <c r="C73" s="28"/>
      <c r="E73" s="55"/>
      <c r="F73" s="55"/>
      <c r="K73" s="55"/>
      <c r="L73" s="55"/>
    </row>
    <row r="74">
      <c r="B74" s="28"/>
      <c r="C74" s="28"/>
      <c r="E74" s="55"/>
      <c r="F74" s="55"/>
      <c r="K74" s="55"/>
      <c r="L74" s="55"/>
    </row>
    <row r="75">
      <c r="B75" s="28"/>
      <c r="C75" s="28"/>
      <c r="E75" s="55"/>
      <c r="F75" s="55"/>
      <c r="K75" s="55"/>
      <c r="L75" s="55"/>
    </row>
    <row r="76">
      <c r="B76" s="28"/>
      <c r="C76" s="28"/>
      <c r="E76" s="55"/>
      <c r="F76" s="55"/>
      <c r="K76" s="55"/>
      <c r="L76" s="55"/>
    </row>
    <row r="77">
      <c r="B77" s="28"/>
      <c r="C77" s="28"/>
      <c r="E77" s="55"/>
      <c r="F77" s="55"/>
      <c r="K77" s="55"/>
      <c r="L77" s="55"/>
    </row>
    <row r="78">
      <c r="B78" s="28"/>
      <c r="C78" s="28"/>
      <c r="E78" s="55"/>
      <c r="F78" s="55"/>
      <c r="K78" s="55"/>
      <c r="L78" s="55"/>
    </row>
    <row r="79">
      <c r="B79" s="28"/>
      <c r="C79" s="28"/>
      <c r="E79" s="55"/>
      <c r="F79" s="55"/>
      <c r="K79" s="55"/>
      <c r="L79" s="55"/>
    </row>
    <row r="80">
      <c r="B80" s="28"/>
      <c r="C80" s="28"/>
      <c r="E80" s="55"/>
      <c r="F80" s="55"/>
      <c r="K80" s="55"/>
      <c r="L80" s="55"/>
    </row>
    <row r="81">
      <c r="B81" s="28"/>
      <c r="C81" s="28"/>
      <c r="E81" s="55"/>
      <c r="F81" s="55"/>
      <c r="K81" s="55"/>
      <c r="L81" s="55"/>
    </row>
    <row r="82">
      <c r="B82" s="28"/>
      <c r="C82" s="28"/>
      <c r="E82" s="55"/>
      <c r="F82" s="55"/>
      <c r="K82" s="55"/>
      <c r="L82" s="55"/>
    </row>
    <row r="83">
      <c r="B83" s="28"/>
      <c r="C83" s="28"/>
      <c r="E83" s="55"/>
      <c r="F83" s="55"/>
      <c r="K83" s="55"/>
      <c r="L83" s="55"/>
    </row>
    <row r="84">
      <c r="B84" s="28"/>
      <c r="C84" s="28"/>
      <c r="E84" s="55"/>
      <c r="F84" s="55"/>
      <c r="K84" s="55"/>
      <c r="L84" s="55"/>
    </row>
    <row r="85">
      <c r="B85" s="28"/>
      <c r="C85" s="28"/>
      <c r="E85" s="55"/>
      <c r="F85" s="55"/>
      <c r="K85" s="55"/>
      <c r="L85" s="55"/>
    </row>
    <row r="86">
      <c r="B86" s="28"/>
      <c r="C86" s="28"/>
      <c r="E86" s="55"/>
      <c r="F86" s="55"/>
      <c r="K86" s="55"/>
      <c r="L86" s="55"/>
    </row>
    <row r="87">
      <c r="B87" s="28"/>
      <c r="C87" s="28"/>
      <c r="E87" s="55"/>
      <c r="F87" s="55"/>
      <c r="K87" s="55"/>
      <c r="L87" s="55"/>
    </row>
    <row r="88">
      <c r="B88" s="28"/>
      <c r="C88" s="28"/>
      <c r="E88" s="55"/>
      <c r="F88" s="55"/>
      <c r="K88" s="55"/>
      <c r="L88" s="55"/>
    </row>
    <row r="89">
      <c r="B89" s="28"/>
      <c r="C89" s="28"/>
      <c r="E89" s="55"/>
      <c r="F89" s="55"/>
      <c r="K89" s="55"/>
      <c r="L89" s="55"/>
    </row>
    <row r="90">
      <c r="B90" s="28"/>
      <c r="C90" s="28"/>
      <c r="E90" s="55"/>
      <c r="F90" s="55"/>
      <c r="K90" s="55"/>
      <c r="L90" s="55"/>
    </row>
    <row r="91">
      <c r="B91" s="28"/>
      <c r="C91" s="28"/>
      <c r="E91" s="55"/>
      <c r="F91" s="55"/>
      <c r="K91" s="55"/>
      <c r="L91" s="55"/>
    </row>
    <row r="92">
      <c r="B92" s="28"/>
      <c r="C92" s="28"/>
      <c r="E92" s="55"/>
      <c r="F92" s="55"/>
      <c r="K92" s="55"/>
      <c r="L92" s="55"/>
    </row>
    <row r="93">
      <c r="B93" s="28"/>
      <c r="C93" s="28"/>
      <c r="E93" s="55"/>
      <c r="F93" s="55"/>
      <c r="K93" s="55"/>
      <c r="L93" s="55"/>
    </row>
    <row r="94">
      <c r="B94" s="28"/>
      <c r="C94" s="28"/>
      <c r="E94" s="55"/>
      <c r="F94" s="55"/>
      <c r="K94" s="55"/>
      <c r="L94" s="55"/>
    </row>
    <row r="95">
      <c r="B95" s="28"/>
      <c r="C95" s="28"/>
      <c r="E95" s="55"/>
      <c r="F95" s="55"/>
      <c r="K95" s="55"/>
      <c r="L95" s="55"/>
    </row>
    <row r="96">
      <c r="B96" s="28"/>
      <c r="C96" s="28"/>
      <c r="E96" s="55"/>
      <c r="F96" s="55"/>
      <c r="K96" s="55"/>
      <c r="L96" s="55"/>
    </row>
    <row r="97">
      <c r="B97" s="28"/>
      <c r="C97" s="28"/>
      <c r="E97" s="55"/>
      <c r="F97" s="55"/>
      <c r="K97" s="55"/>
      <c r="L97" s="55"/>
    </row>
    <row r="98">
      <c r="B98" s="28"/>
      <c r="C98" s="28"/>
      <c r="E98" s="55"/>
      <c r="F98" s="55"/>
      <c r="K98" s="55"/>
      <c r="L98" s="55"/>
    </row>
    <row r="99">
      <c r="B99" s="28"/>
      <c r="C99" s="28"/>
      <c r="E99" s="55"/>
      <c r="F99" s="55"/>
      <c r="K99" s="55"/>
      <c r="L99" s="55"/>
    </row>
    <row r="100">
      <c r="B100" s="28"/>
      <c r="C100" s="28"/>
      <c r="E100" s="55"/>
      <c r="F100" s="55"/>
      <c r="K100" s="55"/>
      <c r="L100" s="55"/>
    </row>
    <row r="101">
      <c r="B101" s="28"/>
      <c r="C101" s="28"/>
      <c r="E101" s="55"/>
      <c r="F101" s="55"/>
      <c r="K101" s="55"/>
      <c r="L101" s="55"/>
    </row>
    <row r="102">
      <c r="B102" s="28"/>
      <c r="C102" s="28"/>
      <c r="E102" s="55"/>
      <c r="F102" s="55"/>
      <c r="K102" s="55"/>
      <c r="L102" s="55"/>
    </row>
    <row r="103">
      <c r="B103" s="28"/>
      <c r="C103" s="28"/>
      <c r="E103" s="55"/>
      <c r="F103" s="55"/>
      <c r="K103" s="55"/>
      <c r="L103" s="55"/>
    </row>
    <row r="104">
      <c r="B104" s="28"/>
      <c r="C104" s="28"/>
      <c r="E104" s="55"/>
      <c r="F104" s="55"/>
      <c r="K104" s="55"/>
      <c r="L104" s="55"/>
    </row>
    <row r="105">
      <c r="B105" s="28"/>
      <c r="C105" s="28"/>
      <c r="E105" s="55"/>
      <c r="F105" s="55"/>
      <c r="K105" s="55"/>
      <c r="L105" s="55"/>
    </row>
    <row r="106">
      <c r="B106" s="28"/>
      <c r="C106" s="28"/>
      <c r="E106" s="55"/>
      <c r="F106" s="55"/>
      <c r="K106" s="55"/>
      <c r="L106" s="55"/>
    </row>
    <row r="107">
      <c r="B107" s="28"/>
      <c r="C107" s="28"/>
      <c r="E107" s="55"/>
      <c r="F107" s="55"/>
      <c r="K107" s="55"/>
      <c r="L107" s="55"/>
    </row>
    <row r="108">
      <c r="B108" s="28"/>
      <c r="C108" s="28"/>
      <c r="E108" s="55"/>
      <c r="F108" s="55"/>
      <c r="K108" s="55"/>
      <c r="L108" s="55"/>
    </row>
    <row r="109">
      <c r="B109" s="28"/>
      <c r="C109" s="28"/>
      <c r="E109" s="55"/>
      <c r="F109" s="55"/>
      <c r="K109" s="55"/>
      <c r="L109" s="55"/>
    </row>
    <row r="110">
      <c r="B110" s="28"/>
      <c r="C110" s="28"/>
      <c r="E110" s="55"/>
      <c r="F110" s="55"/>
      <c r="K110" s="55"/>
      <c r="L110" s="55"/>
    </row>
    <row r="111">
      <c r="B111" s="28"/>
      <c r="C111" s="28"/>
      <c r="E111" s="55"/>
      <c r="F111" s="55"/>
      <c r="K111" s="55"/>
      <c r="L111" s="55"/>
    </row>
    <row r="112">
      <c r="B112" s="28"/>
      <c r="C112" s="28"/>
      <c r="E112" s="55"/>
      <c r="F112" s="55"/>
      <c r="K112" s="55"/>
      <c r="L112" s="55"/>
    </row>
    <row r="113">
      <c r="B113" s="28"/>
      <c r="C113" s="28"/>
      <c r="E113" s="55"/>
      <c r="F113" s="55"/>
      <c r="K113" s="55"/>
      <c r="L113" s="55"/>
    </row>
    <row r="114">
      <c r="B114" s="28"/>
      <c r="C114" s="28"/>
      <c r="E114" s="55"/>
      <c r="F114" s="55"/>
      <c r="K114" s="55"/>
      <c r="L114" s="55"/>
    </row>
    <row r="115">
      <c r="B115" s="28"/>
      <c r="C115" s="28"/>
      <c r="E115" s="55"/>
      <c r="F115" s="55"/>
      <c r="K115" s="55"/>
      <c r="L115" s="55"/>
    </row>
    <row r="116">
      <c r="B116" s="28"/>
      <c r="C116" s="28"/>
      <c r="E116" s="55"/>
      <c r="F116" s="55"/>
      <c r="K116" s="55"/>
      <c r="L116" s="55"/>
    </row>
    <row r="117">
      <c r="B117" s="28"/>
      <c r="C117" s="28"/>
      <c r="E117" s="55"/>
      <c r="F117" s="55"/>
      <c r="K117" s="55"/>
      <c r="L117" s="55"/>
    </row>
    <row r="118">
      <c r="B118" s="28"/>
      <c r="C118" s="28"/>
      <c r="E118" s="55"/>
      <c r="F118" s="55"/>
      <c r="K118" s="55"/>
      <c r="L118" s="55"/>
    </row>
    <row r="119">
      <c r="B119" s="28"/>
      <c r="C119" s="28"/>
      <c r="E119" s="55"/>
      <c r="F119" s="55"/>
      <c r="K119" s="55"/>
      <c r="L119" s="55"/>
    </row>
    <row r="120">
      <c r="B120" s="28"/>
      <c r="C120" s="28"/>
      <c r="E120" s="55"/>
      <c r="F120" s="55"/>
      <c r="K120" s="55"/>
      <c r="L120" s="55"/>
    </row>
    <row r="121">
      <c r="B121" s="28"/>
      <c r="C121" s="28"/>
      <c r="E121" s="55"/>
      <c r="F121" s="55"/>
      <c r="K121" s="55"/>
      <c r="L121" s="55"/>
    </row>
    <row r="122">
      <c r="B122" s="28"/>
      <c r="C122" s="28"/>
      <c r="E122" s="55"/>
      <c r="F122" s="55"/>
      <c r="K122" s="55"/>
      <c r="L122" s="55"/>
    </row>
    <row r="123">
      <c r="B123" s="28"/>
      <c r="C123" s="28"/>
      <c r="E123" s="55"/>
      <c r="F123" s="55"/>
      <c r="K123" s="55"/>
      <c r="L123" s="55"/>
    </row>
    <row r="124">
      <c r="B124" s="28"/>
      <c r="C124" s="28"/>
      <c r="E124" s="55"/>
      <c r="F124" s="55"/>
      <c r="K124" s="55"/>
      <c r="L124" s="55"/>
    </row>
    <row r="125">
      <c r="B125" s="28"/>
      <c r="C125" s="28"/>
      <c r="E125" s="55"/>
      <c r="F125" s="55"/>
      <c r="K125" s="55"/>
      <c r="L125" s="55"/>
    </row>
    <row r="126">
      <c r="B126" s="28"/>
      <c r="C126" s="28"/>
      <c r="E126" s="55"/>
      <c r="F126" s="55"/>
      <c r="K126" s="55"/>
      <c r="L126" s="55"/>
    </row>
    <row r="127">
      <c r="B127" s="28"/>
      <c r="C127" s="28"/>
      <c r="E127" s="55"/>
      <c r="F127" s="55"/>
      <c r="K127" s="55"/>
      <c r="L127" s="55"/>
    </row>
    <row r="128">
      <c r="B128" s="28"/>
      <c r="C128" s="28"/>
      <c r="E128" s="55"/>
      <c r="F128" s="55"/>
      <c r="K128" s="55"/>
      <c r="L128" s="55"/>
    </row>
    <row r="129">
      <c r="B129" s="28"/>
      <c r="C129" s="28"/>
      <c r="E129" s="55"/>
      <c r="F129" s="55"/>
      <c r="K129" s="55"/>
      <c r="L129" s="55"/>
    </row>
    <row r="130">
      <c r="B130" s="28"/>
      <c r="C130" s="28"/>
      <c r="E130" s="55"/>
      <c r="F130" s="55"/>
      <c r="K130" s="55"/>
      <c r="L130" s="55"/>
    </row>
    <row r="131">
      <c r="B131" s="28"/>
      <c r="C131" s="28"/>
      <c r="E131" s="55"/>
      <c r="F131" s="55"/>
      <c r="K131" s="55"/>
      <c r="L131" s="55"/>
    </row>
    <row r="132">
      <c r="B132" s="28"/>
      <c r="C132" s="28"/>
      <c r="E132" s="55"/>
      <c r="F132" s="55"/>
      <c r="K132" s="55"/>
      <c r="L132" s="55"/>
    </row>
    <row r="133">
      <c r="B133" s="28"/>
      <c r="C133" s="28"/>
      <c r="E133" s="55"/>
      <c r="F133" s="55"/>
      <c r="K133" s="55"/>
      <c r="L133" s="55"/>
    </row>
    <row r="134">
      <c r="B134" s="28"/>
      <c r="C134" s="28"/>
      <c r="E134" s="55"/>
      <c r="F134" s="55"/>
      <c r="K134" s="55"/>
      <c r="L134" s="55"/>
    </row>
    <row r="135">
      <c r="B135" s="28"/>
      <c r="C135" s="28"/>
      <c r="E135" s="55"/>
      <c r="F135" s="55"/>
      <c r="K135" s="55"/>
      <c r="L135" s="55"/>
    </row>
    <row r="136">
      <c r="B136" s="28"/>
      <c r="C136" s="28"/>
      <c r="E136" s="55"/>
      <c r="F136" s="55"/>
      <c r="K136" s="55"/>
      <c r="L136" s="55"/>
    </row>
    <row r="137">
      <c r="B137" s="28"/>
      <c r="C137" s="28"/>
      <c r="E137" s="55"/>
      <c r="F137" s="55"/>
      <c r="K137" s="55"/>
      <c r="L137" s="55"/>
    </row>
    <row r="138">
      <c r="B138" s="28"/>
      <c r="C138" s="28"/>
      <c r="E138" s="55"/>
      <c r="F138" s="55"/>
      <c r="K138" s="55"/>
      <c r="L138" s="55"/>
    </row>
    <row r="139">
      <c r="B139" s="28"/>
      <c r="C139" s="28"/>
      <c r="E139" s="55"/>
      <c r="F139" s="55"/>
      <c r="K139" s="55"/>
      <c r="L139" s="55"/>
    </row>
    <row r="140">
      <c r="B140" s="28"/>
      <c r="C140" s="28"/>
      <c r="E140" s="55"/>
      <c r="F140" s="55"/>
      <c r="K140" s="55"/>
      <c r="L140" s="55"/>
    </row>
    <row r="141">
      <c r="B141" s="28"/>
      <c r="C141" s="28"/>
      <c r="E141" s="55"/>
      <c r="F141" s="55"/>
      <c r="K141" s="55"/>
      <c r="L141" s="55"/>
    </row>
    <row r="142">
      <c r="B142" s="28"/>
      <c r="C142" s="28"/>
      <c r="E142" s="55"/>
      <c r="F142" s="55"/>
      <c r="K142" s="55"/>
      <c r="L142" s="55"/>
    </row>
    <row r="143">
      <c r="B143" s="28"/>
      <c r="C143" s="28"/>
      <c r="E143" s="55"/>
      <c r="F143" s="55"/>
      <c r="K143" s="55"/>
      <c r="L143" s="55"/>
    </row>
    <row r="144">
      <c r="B144" s="28"/>
      <c r="C144" s="28"/>
      <c r="E144" s="55"/>
      <c r="F144" s="55"/>
      <c r="K144" s="55"/>
      <c r="L144" s="55"/>
    </row>
    <row r="145">
      <c r="B145" s="28"/>
      <c r="C145" s="28"/>
      <c r="E145" s="55"/>
      <c r="F145" s="55"/>
      <c r="K145" s="55"/>
      <c r="L145" s="55"/>
    </row>
    <row r="146">
      <c r="B146" s="28"/>
      <c r="C146" s="28"/>
      <c r="E146" s="55"/>
      <c r="F146" s="55"/>
      <c r="K146" s="55"/>
      <c r="L146" s="55"/>
    </row>
    <row r="147">
      <c r="B147" s="28"/>
      <c r="C147" s="28"/>
      <c r="E147" s="55"/>
      <c r="F147" s="55"/>
      <c r="K147" s="55"/>
      <c r="L147" s="55"/>
    </row>
    <row r="148">
      <c r="B148" s="28"/>
      <c r="C148" s="28"/>
      <c r="E148" s="55"/>
      <c r="F148" s="55"/>
      <c r="K148" s="55"/>
      <c r="L148" s="55"/>
    </row>
    <row r="149">
      <c r="B149" s="28"/>
      <c r="C149" s="28"/>
      <c r="E149" s="55"/>
      <c r="F149" s="55"/>
      <c r="K149" s="55"/>
      <c r="L149" s="55"/>
    </row>
    <row r="150">
      <c r="B150" s="28"/>
      <c r="C150" s="28"/>
      <c r="E150" s="55"/>
      <c r="F150" s="55"/>
      <c r="K150" s="55"/>
      <c r="L150" s="55"/>
    </row>
    <row r="151">
      <c r="B151" s="28"/>
      <c r="C151" s="28"/>
      <c r="E151" s="55"/>
      <c r="F151" s="55"/>
      <c r="K151" s="55"/>
      <c r="L151" s="55"/>
    </row>
    <row r="152">
      <c r="B152" s="28"/>
      <c r="C152" s="28"/>
      <c r="E152" s="55"/>
      <c r="F152" s="55"/>
      <c r="K152" s="55"/>
      <c r="L152" s="55"/>
    </row>
    <row r="153">
      <c r="B153" s="28"/>
      <c r="C153" s="28"/>
      <c r="E153" s="55"/>
      <c r="F153" s="55"/>
      <c r="K153" s="55"/>
      <c r="L153" s="55"/>
    </row>
    <row r="154">
      <c r="B154" s="28"/>
      <c r="C154" s="28"/>
      <c r="E154" s="55"/>
      <c r="F154" s="55"/>
      <c r="K154" s="55"/>
      <c r="L154" s="55"/>
    </row>
    <row r="155">
      <c r="B155" s="28"/>
      <c r="C155" s="28"/>
      <c r="E155" s="55"/>
      <c r="F155" s="55"/>
      <c r="K155" s="55"/>
      <c r="L155" s="55"/>
    </row>
    <row r="156">
      <c r="B156" s="28"/>
      <c r="C156" s="28"/>
      <c r="E156" s="55"/>
      <c r="F156" s="55"/>
      <c r="K156" s="55"/>
      <c r="L156" s="55"/>
    </row>
    <row r="157">
      <c r="B157" s="28"/>
      <c r="C157" s="28"/>
      <c r="E157" s="55"/>
      <c r="F157" s="55"/>
      <c r="K157" s="55"/>
      <c r="L157" s="55"/>
    </row>
    <row r="158">
      <c r="B158" s="28"/>
      <c r="C158" s="28"/>
      <c r="E158" s="55"/>
      <c r="F158" s="55"/>
      <c r="K158" s="55"/>
      <c r="L158" s="55"/>
    </row>
    <row r="159">
      <c r="B159" s="28"/>
      <c r="C159" s="28"/>
      <c r="E159" s="55"/>
      <c r="F159" s="55"/>
      <c r="K159" s="55"/>
      <c r="L159" s="55"/>
    </row>
    <row r="160">
      <c r="B160" s="28"/>
      <c r="C160" s="28"/>
      <c r="E160" s="55"/>
      <c r="F160" s="55"/>
      <c r="K160" s="55"/>
      <c r="L160" s="55"/>
    </row>
    <row r="161">
      <c r="B161" s="28"/>
      <c r="C161" s="28"/>
      <c r="E161" s="55"/>
      <c r="F161" s="55"/>
      <c r="K161" s="55"/>
      <c r="L161" s="55"/>
    </row>
    <row r="162">
      <c r="B162" s="28"/>
      <c r="C162" s="28"/>
      <c r="E162" s="55"/>
      <c r="F162" s="55"/>
      <c r="K162" s="55"/>
      <c r="L162" s="55"/>
    </row>
    <row r="163">
      <c r="B163" s="28"/>
      <c r="C163" s="28"/>
      <c r="E163" s="55"/>
      <c r="F163" s="55"/>
      <c r="K163" s="55"/>
      <c r="L163" s="55"/>
    </row>
    <row r="164">
      <c r="B164" s="28"/>
      <c r="C164" s="28"/>
      <c r="E164" s="55"/>
      <c r="F164" s="55"/>
      <c r="K164" s="55"/>
      <c r="L164" s="55"/>
    </row>
    <row r="165">
      <c r="B165" s="28"/>
      <c r="C165" s="28"/>
      <c r="E165" s="55"/>
      <c r="F165" s="55"/>
      <c r="K165" s="55"/>
      <c r="L165" s="55"/>
    </row>
    <row r="166">
      <c r="B166" s="28"/>
      <c r="C166" s="28"/>
      <c r="E166" s="55"/>
      <c r="F166" s="55"/>
      <c r="K166" s="55"/>
      <c r="L166" s="55"/>
    </row>
    <row r="167">
      <c r="B167" s="28"/>
      <c r="C167" s="28"/>
      <c r="E167" s="55"/>
      <c r="F167" s="55"/>
      <c r="K167" s="55"/>
      <c r="L167" s="55"/>
    </row>
    <row r="168">
      <c r="B168" s="28"/>
      <c r="C168" s="28"/>
      <c r="E168" s="55"/>
      <c r="F168" s="55"/>
      <c r="K168" s="55"/>
      <c r="L168" s="55"/>
    </row>
    <row r="169">
      <c r="B169" s="28"/>
      <c r="C169" s="28"/>
      <c r="E169" s="55"/>
      <c r="F169" s="55"/>
      <c r="K169" s="55"/>
      <c r="L169" s="55"/>
    </row>
    <row r="170">
      <c r="B170" s="28"/>
      <c r="C170" s="28"/>
      <c r="E170" s="55"/>
      <c r="F170" s="55"/>
      <c r="K170" s="55"/>
      <c r="L170" s="55"/>
    </row>
    <row r="171">
      <c r="B171" s="28"/>
      <c r="C171" s="28"/>
      <c r="E171" s="55"/>
      <c r="F171" s="55"/>
      <c r="K171" s="55"/>
      <c r="L171" s="55"/>
    </row>
    <row r="172">
      <c r="B172" s="28"/>
      <c r="C172" s="28"/>
      <c r="E172" s="55"/>
      <c r="F172" s="55"/>
      <c r="K172" s="55"/>
      <c r="L172" s="55"/>
    </row>
    <row r="173">
      <c r="B173" s="28"/>
      <c r="C173" s="28"/>
      <c r="E173" s="55"/>
      <c r="F173" s="55"/>
      <c r="K173" s="55"/>
      <c r="L173" s="55"/>
    </row>
    <row r="174">
      <c r="B174" s="28"/>
      <c r="C174" s="28"/>
      <c r="E174" s="55"/>
      <c r="F174" s="55"/>
      <c r="K174" s="55"/>
      <c r="L174" s="55"/>
    </row>
    <row r="175">
      <c r="B175" s="28"/>
      <c r="C175" s="28"/>
      <c r="E175" s="55"/>
      <c r="F175" s="55"/>
      <c r="K175" s="55"/>
      <c r="L175" s="55"/>
    </row>
    <row r="176">
      <c r="B176" s="28"/>
      <c r="C176" s="28"/>
      <c r="E176" s="55"/>
      <c r="F176" s="55"/>
      <c r="K176" s="55"/>
      <c r="L176" s="55"/>
    </row>
    <row r="177">
      <c r="B177" s="28"/>
      <c r="C177" s="28"/>
      <c r="E177" s="55"/>
      <c r="F177" s="55"/>
      <c r="K177" s="55"/>
      <c r="L177" s="55"/>
    </row>
    <row r="178">
      <c r="B178" s="28"/>
      <c r="C178" s="28"/>
      <c r="E178" s="55"/>
      <c r="F178" s="55"/>
      <c r="K178" s="55"/>
      <c r="L178" s="55"/>
    </row>
    <row r="179">
      <c r="B179" s="28"/>
      <c r="C179" s="28"/>
      <c r="E179" s="55"/>
      <c r="F179" s="55"/>
      <c r="K179" s="55"/>
      <c r="L179" s="55"/>
    </row>
    <row r="180">
      <c r="B180" s="28"/>
      <c r="C180" s="28"/>
      <c r="E180" s="55"/>
      <c r="F180" s="55"/>
      <c r="K180" s="55"/>
      <c r="L180" s="55"/>
    </row>
    <row r="181">
      <c r="B181" s="28"/>
      <c r="C181" s="28"/>
      <c r="E181" s="55"/>
      <c r="F181" s="55"/>
      <c r="K181" s="55"/>
      <c r="L181" s="55"/>
    </row>
    <row r="182">
      <c r="B182" s="28"/>
      <c r="C182" s="28"/>
      <c r="E182" s="55"/>
      <c r="F182" s="55"/>
      <c r="K182" s="55"/>
      <c r="L182" s="55"/>
    </row>
    <row r="183">
      <c r="B183" s="28"/>
      <c r="C183" s="28"/>
      <c r="E183" s="55"/>
      <c r="F183" s="55"/>
      <c r="K183" s="55"/>
      <c r="L183" s="55"/>
    </row>
    <row r="184">
      <c r="B184" s="28"/>
      <c r="C184" s="28"/>
      <c r="E184" s="55"/>
      <c r="F184" s="55"/>
      <c r="K184" s="55"/>
      <c r="L184" s="55"/>
    </row>
    <row r="185">
      <c r="B185" s="28"/>
      <c r="C185" s="28"/>
      <c r="E185" s="55"/>
      <c r="F185" s="55"/>
      <c r="K185" s="55"/>
      <c r="L185" s="55"/>
    </row>
    <row r="186">
      <c r="B186" s="28"/>
      <c r="C186" s="28"/>
      <c r="E186" s="55"/>
      <c r="F186" s="55"/>
      <c r="K186" s="55"/>
      <c r="L186" s="55"/>
    </row>
    <row r="187">
      <c r="B187" s="28"/>
      <c r="C187" s="28"/>
      <c r="E187" s="55"/>
      <c r="F187" s="55"/>
      <c r="K187" s="55"/>
      <c r="L187" s="55"/>
    </row>
    <row r="188">
      <c r="B188" s="28"/>
      <c r="C188" s="28"/>
      <c r="E188" s="55"/>
      <c r="F188" s="55"/>
      <c r="K188" s="55"/>
      <c r="L188" s="55"/>
    </row>
    <row r="189">
      <c r="B189" s="28"/>
      <c r="C189" s="28"/>
      <c r="E189" s="55"/>
      <c r="F189" s="55"/>
      <c r="K189" s="55"/>
      <c r="L189" s="55"/>
    </row>
    <row r="190">
      <c r="B190" s="28"/>
      <c r="C190" s="28"/>
      <c r="E190" s="55"/>
      <c r="F190" s="55"/>
      <c r="K190" s="55"/>
      <c r="L190" s="55"/>
    </row>
    <row r="191">
      <c r="B191" s="28"/>
      <c r="C191" s="28"/>
      <c r="E191" s="55"/>
      <c r="F191" s="55"/>
      <c r="K191" s="55"/>
      <c r="L191" s="55"/>
    </row>
    <row r="192">
      <c r="B192" s="28"/>
      <c r="C192" s="28"/>
      <c r="E192" s="55"/>
      <c r="F192" s="55"/>
      <c r="K192" s="55"/>
      <c r="L192" s="55"/>
    </row>
    <row r="193">
      <c r="B193" s="28"/>
      <c r="C193" s="28"/>
      <c r="E193" s="55"/>
      <c r="F193" s="55"/>
      <c r="K193" s="55"/>
      <c r="L193" s="55"/>
    </row>
    <row r="194">
      <c r="B194" s="28"/>
      <c r="C194" s="28"/>
      <c r="E194" s="55"/>
      <c r="F194" s="55"/>
      <c r="K194" s="55"/>
      <c r="L194" s="55"/>
    </row>
    <row r="195">
      <c r="B195" s="28"/>
      <c r="C195" s="28"/>
      <c r="E195" s="55"/>
      <c r="F195" s="55"/>
      <c r="K195" s="55"/>
      <c r="L195" s="55"/>
    </row>
    <row r="196">
      <c r="B196" s="28"/>
      <c r="C196" s="28"/>
      <c r="E196" s="55"/>
      <c r="F196" s="55"/>
      <c r="K196" s="55"/>
      <c r="L196" s="55"/>
    </row>
    <row r="197">
      <c r="B197" s="28"/>
      <c r="C197" s="28"/>
      <c r="E197" s="55"/>
      <c r="F197" s="55"/>
      <c r="K197" s="55"/>
      <c r="L197" s="55"/>
    </row>
    <row r="198">
      <c r="B198" s="28"/>
      <c r="C198" s="28"/>
      <c r="E198" s="55"/>
      <c r="F198" s="55"/>
      <c r="K198" s="55"/>
      <c r="L198" s="55"/>
    </row>
    <row r="199">
      <c r="B199" s="28"/>
      <c r="C199" s="28"/>
      <c r="E199" s="55"/>
      <c r="F199" s="55"/>
      <c r="K199" s="55"/>
      <c r="L199" s="55"/>
    </row>
    <row r="200">
      <c r="B200" s="28"/>
      <c r="C200" s="28"/>
      <c r="E200" s="55"/>
      <c r="F200" s="55"/>
      <c r="K200" s="55"/>
      <c r="L200" s="55"/>
    </row>
    <row r="201">
      <c r="B201" s="28"/>
      <c r="C201" s="28"/>
      <c r="E201" s="55"/>
      <c r="F201" s="55"/>
      <c r="K201" s="55"/>
      <c r="L201" s="55"/>
    </row>
    <row r="202">
      <c r="B202" s="28"/>
      <c r="C202" s="28"/>
      <c r="E202" s="55"/>
      <c r="F202" s="55"/>
      <c r="K202" s="55"/>
      <c r="L202" s="55"/>
    </row>
    <row r="203">
      <c r="B203" s="28"/>
      <c r="C203" s="28"/>
      <c r="E203" s="55"/>
      <c r="F203" s="55"/>
      <c r="K203" s="55"/>
      <c r="L203" s="55"/>
    </row>
    <row r="204">
      <c r="B204" s="28"/>
      <c r="C204" s="28"/>
      <c r="E204" s="55"/>
      <c r="F204" s="55"/>
      <c r="K204" s="55"/>
      <c r="L204" s="55"/>
    </row>
    <row r="205">
      <c r="B205" s="28"/>
      <c r="C205" s="28"/>
      <c r="E205" s="55"/>
      <c r="F205" s="55"/>
      <c r="K205" s="55"/>
      <c r="L205" s="55"/>
    </row>
    <row r="206">
      <c r="B206" s="28"/>
      <c r="C206" s="28"/>
      <c r="E206" s="55"/>
      <c r="F206" s="55"/>
      <c r="K206" s="55"/>
      <c r="L206" s="55"/>
    </row>
    <row r="207">
      <c r="B207" s="28"/>
      <c r="C207" s="28"/>
      <c r="E207" s="55"/>
      <c r="F207" s="55"/>
      <c r="K207" s="55"/>
      <c r="L207" s="55"/>
    </row>
    <row r="208">
      <c r="B208" s="28"/>
      <c r="C208" s="28"/>
      <c r="E208" s="55"/>
      <c r="F208" s="55"/>
      <c r="K208" s="55"/>
      <c r="L208" s="55"/>
    </row>
    <row r="209">
      <c r="B209" s="28"/>
      <c r="C209" s="28"/>
      <c r="E209" s="55"/>
      <c r="F209" s="55"/>
      <c r="K209" s="55"/>
      <c r="L209" s="55"/>
    </row>
    <row r="210">
      <c r="B210" s="28"/>
      <c r="C210" s="28"/>
      <c r="E210" s="55"/>
      <c r="F210" s="55"/>
      <c r="K210" s="55"/>
      <c r="L210" s="55"/>
    </row>
    <row r="211">
      <c r="B211" s="28"/>
      <c r="C211" s="28"/>
      <c r="E211" s="55"/>
      <c r="F211" s="55"/>
      <c r="K211" s="55"/>
      <c r="L211" s="55"/>
    </row>
    <row r="212">
      <c r="B212" s="28"/>
      <c r="C212" s="28"/>
      <c r="E212" s="55"/>
      <c r="F212" s="55"/>
      <c r="K212" s="55"/>
      <c r="L212" s="55"/>
    </row>
    <row r="213">
      <c r="B213" s="28"/>
      <c r="C213" s="28"/>
      <c r="E213" s="55"/>
      <c r="F213" s="55"/>
      <c r="K213" s="55"/>
      <c r="L213" s="55"/>
    </row>
    <row r="214">
      <c r="B214" s="28"/>
      <c r="C214" s="28"/>
      <c r="E214" s="55"/>
      <c r="F214" s="55"/>
      <c r="K214" s="55"/>
      <c r="L214" s="55"/>
    </row>
    <row r="215">
      <c r="B215" s="28"/>
      <c r="C215" s="28"/>
      <c r="E215" s="55"/>
      <c r="F215" s="55"/>
      <c r="K215" s="55"/>
      <c r="L215" s="55"/>
    </row>
    <row r="216">
      <c r="B216" s="28"/>
      <c r="C216" s="28"/>
      <c r="E216" s="55"/>
      <c r="F216" s="55"/>
      <c r="K216" s="55"/>
      <c r="L216" s="55"/>
    </row>
    <row r="217">
      <c r="B217" s="28"/>
      <c r="C217" s="28"/>
      <c r="E217" s="55"/>
      <c r="F217" s="55"/>
      <c r="K217" s="55"/>
      <c r="L217" s="55"/>
    </row>
    <row r="218">
      <c r="B218" s="28"/>
      <c r="C218" s="28"/>
      <c r="E218" s="55"/>
      <c r="F218" s="55"/>
      <c r="K218" s="55"/>
      <c r="L218" s="55"/>
    </row>
    <row r="219">
      <c r="B219" s="28"/>
      <c r="C219" s="28"/>
      <c r="E219" s="55"/>
      <c r="F219" s="55"/>
      <c r="K219" s="55"/>
      <c r="L219" s="55"/>
    </row>
    <row r="220">
      <c r="B220" s="28"/>
      <c r="C220" s="28"/>
      <c r="E220" s="55"/>
      <c r="F220" s="55"/>
      <c r="K220" s="55"/>
      <c r="L220" s="55"/>
    </row>
    <row r="221">
      <c r="B221" s="28"/>
      <c r="C221" s="28"/>
      <c r="E221" s="55"/>
      <c r="F221" s="55"/>
      <c r="K221" s="55"/>
      <c r="L221" s="55"/>
    </row>
    <row r="222">
      <c r="B222" s="28"/>
      <c r="C222" s="28"/>
      <c r="E222" s="55"/>
      <c r="F222" s="55"/>
      <c r="K222" s="55"/>
      <c r="L222" s="55"/>
    </row>
    <row r="223">
      <c r="B223" s="28"/>
      <c r="C223" s="28"/>
      <c r="E223" s="55"/>
      <c r="F223" s="55"/>
      <c r="K223" s="55"/>
      <c r="L223" s="55"/>
    </row>
    <row r="224">
      <c r="B224" s="28"/>
      <c r="C224" s="28"/>
      <c r="E224" s="55"/>
      <c r="F224" s="55"/>
      <c r="K224" s="55"/>
      <c r="L224" s="55"/>
    </row>
    <row r="225">
      <c r="B225" s="28"/>
      <c r="C225" s="28"/>
      <c r="E225" s="55"/>
      <c r="F225" s="55"/>
      <c r="K225" s="55"/>
      <c r="L225" s="55"/>
    </row>
    <row r="226">
      <c r="B226" s="28"/>
      <c r="C226" s="28"/>
      <c r="E226" s="55"/>
      <c r="F226" s="55"/>
      <c r="K226" s="55"/>
      <c r="L226" s="55"/>
    </row>
    <row r="227">
      <c r="B227" s="28"/>
      <c r="C227" s="28"/>
      <c r="E227" s="55"/>
      <c r="F227" s="55"/>
      <c r="K227" s="55"/>
      <c r="L227" s="55"/>
    </row>
    <row r="228">
      <c r="B228" s="28"/>
      <c r="C228" s="28"/>
      <c r="E228" s="55"/>
      <c r="F228" s="55"/>
      <c r="K228" s="55"/>
      <c r="L228" s="55"/>
    </row>
    <row r="229">
      <c r="B229" s="28"/>
      <c r="C229" s="28"/>
      <c r="E229" s="55"/>
      <c r="F229" s="55"/>
      <c r="K229" s="55"/>
      <c r="L229" s="55"/>
    </row>
    <row r="230">
      <c r="B230" s="28"/>
      <c r="C230" s="28"/>
      <c r="E230" s="55"/>
      <c r="F230" s="55"/>
      <c r="K230" s="55"/>
      <c r="L230" s="55"/>
    </row>
    <row r="231">
      <c r="B231" s="28"/>
      <c r="C231" s="28"/>
      <c r="E231" s="55"/>
      <c r="F231" s="55"/>
      <c r="K231" s="55"/>
      <c r="L231" s="55"/>
    </row>
    <row r="232">
      <c r="B232" s="28"/>
      <c r="C232" s="28"/>
      <c r="E232" s="55"/>
      <c r="F232" s="55"/>
      <c r="K232" s="55"/>
      <c r="L232" s="55"/>
    </row>
    <row r="233">
      <c r="B233" s="28"/>
      <c r="C233" s="28"/>
      <c r="E233" s="55"/>
      <c r="F233" s="55"/>
      <c r="K233" s="55"/>
      <c r="L233" s="55"/>
    </row>
    <row r="234">
      <c r="B234" s="28"/>
      <c r="C234" s="28"/>
      <c r="E234" s="55"/>
      <c r="F234" s="55"/>
      <c r="K234" s="55"/>
      <c r="L234" s="55"/>
    </row>
    <row r="235">
      <c r="B235" s="28"/>
      <c r="C235" s="28"/>
      <c r="E235" s="55"/>
      <c r="F235" s="55"/>
      <c r="K235" s="55"/>
      <c r="L235" s="55"/>
    </row>
    <row r="236">
      <c r="B236" s="28"/>
      <c r="C236" s="28"/>
      <c r="E236" s="55"/>
      <c r="F236" s="55"/>
      <c r="K236" s="55"/>
      <c r="L236" s="55"/>
    </row>
    <row r="237">
      <c r="B237" s="28"/>
      <c r="C237" s="28"/>
      <c r="E237" s="55"/>
      <c r="F237" s="55"/>
      <c r="K237" s="55"/>
      <c r="L237" s="55"/>
    </row>
    <row r="238">
      <c r="B238" s="28"/>
      <c r="C238" s="28"/>
      <c r="E238" s="55"/>
      <c r="F238" s="55"/>
      <c r="K238" s="55"/>
      <c r="L238" s="55"/>
    </row>
    <row r="239">
      <c r="B239" s="28"/>
      <c r="C239" s="28"/>
      <c r="E239" s="55"/>
      <c r="F239" s="55"/>
      <c r="K239" s="55"/>
      <c r="L239" s="55"/>
    </row>
    <row r="240">
      <c r="B240" s="28"/>
      <c r="C240" s="28"/>
      <c r="E240" s="55"/>
      <c r="F240" s="55"/>
      <c r="K240" s="55"/>
      <c r="L240" s="55"/>
    </row>
    <row r="241">
      <c r="B241" s="28"/>
      <c r="C241" s="28"/>
      <c r="E241" s="55"/>
      <c r="F241" s="55"/>
      <c r="K241" s="55"/>
      <c r="L241" s="55"/>
    </row>
    <row r="242">
      <c r="B242" s="28"/>
      <c r="C242" s="28"/>
      <c r="E242" s="55"/>
      <c r="F242" s="55"/>
      <c r="K242" s="55"/>
      <c r="L242" s="55"/>
    </row>
    <row r="243">
      <c r="B243" s="28"/>
      <c r="C243" s="28"/>
      <c r="E243" s="55"/>
      <c r="F243" s="55"/>
      <c r="K243" s="55"/>
      <c r="L243" s="55"/>
    </row>
    <row r="244">
      <c r="B244" s="28"/>
      <c r="C244" s="28"/>
      <c r="E244" s="55"/>
      <c r="F244" s="55"/>
      <c r="K244" s="55"/>
      <c r="L244" s="55"/>
    </row>
    <row r="245">
      <c r="B245" s="28"/>
      <c r="C245" s="28"/>
      <c r="E245" s="55"/>
      <c r="F245" s="55"/>
      <c r="K245" s="55"/>
      <c r="L245" s="55"/>
    </row>
    <row r="246">
      <c r="B246" s="28"/>
      <c r="C246" s="28"/>
      <c r="E246" s="55"/>
      <c r="F246" s="55"/>
      <c r="K246" s="55"/>
      <c r="L246" s="55"/>
    </row>
    <row r="247">
      <c r="B247" s="28"/>
      <c r="C247" s="28"/>
      <c r="E247" s="55"/>
      <c r="F247" s="55"/>
      <c r="K247" s="55"/>
      <c r="L247" s="55"/>
    </row>
    <row r="248">
      <c r="B248" s="28"/>
      <c r="C248" s="28"/>
      <c r="E248" s="55"/>
      <c r="F248" s="55"/>
      <c r="K248" s="55"/>
      <c r="L248" s="55"/>
    </row>
    <row r="249">
      <c r="B249" s="28"/>
      <c r="C249" s="28"/>
      <c r="E249" s="55"/>
      <c r="F249" s="55"/>
      <c r="K249" s="55"/>
      <c r="L249" s="55"/>
    </row>
    <row r="250">
      <c r="B250" s="28"/>
      <c r="C250" s="28"/>
      <c r="E250" s="55"/>
      <c r="F250" s="55"/>
      <c r="K250" s="55"/>
      <c r="L250" s="55"/>
    </row>
    <row r="251">
      <c r="B251" s="28"/>
      <c r="C251" s="28"/>
      <c r="E251" s="55"/>
      <c r="F251" s="55"/>
      <c r="K251" s="55"/>
      <c r="L251" s="55"/>
    </row>
    <row r="252">
      <c r="B252" s="28"/>
      <c r="C252" s="28"/>
      <c r="E252" s="55"/>
      <c r="F252" s="55"/>
      <c r="K252" s="55"/>
      <c r="L252" s="55"/>
    </row>
    <row r="253">
      <c r="B253" s="28"/>
      <c r="C253" s="28"/>
      <c r="E253" s="55"/>
      <c r="F253" s="55"/>
      <c r="K253" s="55"/>
      <c r="L253" s="55"/>
    </row>
    <row r="254">
      <c r="B254" s="28"/>
      <c r="C254" s="28"/>
      <c r="E254" s="55"/>
      <c r="F254" s="55"/>
      <c r="K254" s="55"/>
      <c r="L254" s="55"/>
    </row>
    <row r="255">
      <c r="B255" s="28"/>
      <c r="C255" s="28"/>
      <c r="E255" s="55"/>
      <c r="F255" s="55"/>
      <c r="K255" s="55"/>
      <c r="L255" s="55"/>
    </row>
    <row r="256">
      <c r="B256" s="28"/>
      <c r="C256" s="28"/>
      <c r="E256" s="55"/>
      <c r="F256" s="55"/>
      <c r="K256" s="55"/>
      <c r="L256" s="55"/>
    </row>
    <row r="257">
      <c r="B257" s="28"/>
      <c r="C257" s="28"/>
      <c r="E257" s="55"/>
      <c r="F257" s="55"/>
      <c r="K257" s="55"/>
      <c r="L257" s="55"/>
    </row>
    <row r="258">
      <c r="B258" s="28"/>
      <c r="C258" s="28"/>
      <c r="E258" s="55"/>
      <c r="F258" s="55"/>
      <c r="K258" s="55"/>
      <c r="L258" s="55"/>
    </row>
    <row r="259">
      <c r="B259" s="28"/>
      <c r="C259" s="28"/>
      <c r="E259" s="55"/>
      <c r="F259" s="55"/>
      <c r="K259" s="55"/>
      <c r="L259" s="55"/>
    </row>
    <row r="260">
      <c r="B260" s="28"/>
      <c r="C260" s="28"/>
      <c r="E260" s="55"/>
      <c r="F260" s="55"/>
      <c r="K260" s="55"/>
      <c r="L260" s="55"/>
    </row>
    <row r="261">
      <c r="B261" s="28"/>
      <c r="C261" s="28"/>
      <c r="E261" s="55"/>
      <c r="F261" s="55"/>
      <c r="K261" s="55"/>
      <c r="L261" s="55"/>
    </row>
    <row r="262">
      <c r="B262" s="28"/>
      <c r="C262" s="28"/>
      <c r="E262" s="55"/>
      <c r="F262" s="55"/>
      <c r="K262" s="55"/>
      <c r="L262" s="55"/>
    </row>
    <row r="263">
      <c r="B263" s="28"/>
      <c r="C263" s="28"/>
      <c r="E263" s="55"/>
      <c r="F263" s="55"/>
      <c r="K263" s="55"/>
      <c r="L263" s="55"/>
    </row>
    <row r="264">
      <c r="B264" s="28"/>
      <c r="C264" s="28"/>
      <c r="E264" s="55"/>
      <c r="F264" s="55"/>
      <c r="K264" s="55"/>
      <c r="L264" s="55"/>
    </row>
    <row r="265">
      <c r="B265" s="28"/>
      <c r="C265" s="28"/>
      <c r="E265" s="55"/>
      <c r="F265" s="55"/>
      <c r="K265" s="55"/>
      <c r="L265" s="55"/>
    </row>
    <row r="266">
      <c r="B266" s="28"/>
      <c r="C266" s="28"/>
      <c r="E266" s="55"/>
      <c r="F266" s="55"/>
      <c r="K266" s="55"/>
      <c r="L266" s="55"/>
    </row>
    <row r="267">
      <c r="B267" s="28"/>
      <c r="C267" s="28"/>
      <c r="E267" s="55"/>
      <c r="F267" s="55"/>
      <c r="K267" s="55"/>
      <c r="L267" s="55"/>
    </row>
    <row r="268">
      <c r="B268" s="28"/>
      <c r="C268" s="28"/>
      <c r="E268" s="55"/>
      <c r="F268" s="55"/>
      <c r="K268" s="55"/>
      <c r="L268" s="55"/>
    </row>
    <row r="269">
      <c r="B269" s="28"/>
      <c r="C269" s="28"/>
      <c r="E269" s="55"/>
      <c r="F269" s="55"/>
      <c r="K269" s="55"/>
      <c r="L269" s="55"/>
    </row>
    <row r="270">
      <c r="B270" s="28"/>
      <c r="C270" s="28"/>
      <c r="E270" s="55"/>
      <c r="F270" s="55"/>
      <c r="K270" s="55"/>
      <c r="L270" s="55"/>
    </row>
    <row r="271">
      <c r="B271" s="28"/>
      <c r="C271" s="28"/>
      <c r="E271" s="55"/>
      <c r="F271" s="55"/>
      <c r="K271" s="55"/>
      <c r="L271" s="55"/>
    </row>
    <row r="272">
      <c r="B272" s="28"/>
      <c r="C272" s="28"/>
      <c r="E272" s="55"/>
      <c r="F272" s="55"/>
      <c r="K272" s="55"/>
      <c r="L272" s="55"/>
    </row>
    <row r="273">
      <c r="B273" s="28"/>
      <c r="C273" s="28"/>
      <c r="E273" s="55"/>
      <c r="F273" s="55"/>
      <c r="K273" s="55"/>
      <c r="L273" s="55"/>
    </row>
    <row r="274">
      <c r="B274" s="28"/>
      <c r="C274" s="28"/>
      <c r="E274" s="55"/>
      <c r="F274" s="55"/>
      <c r="K274" s="55"/>
      <c r="L274" s="55"/>
    </row>
    <row r="275">
      <c r="B275" s="28"/>
      <c r="C275" s="28"/>
      <c r="E275" s="55"/>
      <c r="F275" s="55"/>
      <c r="K275" s="55"/>
      <c r="L275" s="55"/>
    </row>
    <row r="276">
      <c r="B276" s="28"/>
      <c r="C276" s="28"/>
      <c r="E276" s="55"/>
      <c r="F276" s="55"/>
      <c r="K276" s="55"/>
      <c r="L276" s="55"/>
    </row>
    <row r="277">
      <c r="B277" s="28"/>
      <c r="C277" s="28"/>
      <c r="E277" s="55"/>
      <c r="F277" s="55"/>
      <c r="K277" s="55"/>
      <c r="L277" s="55"/>
    </row>
    <row r="278">
      <c r="B278" s="28"/>
      <c r="C278" s="28"/>
      <c r="E278" s="55"/>
      <c r="F278" s="55"/>
      <c r="K278" s="55"/>
      <c r="L278" s="55"/>
    </row>
    <row r="279">
      <c r="B279" s="28"/>
      <c r="C279" s="28"/>
      <c r="E279" s="55"/>
      <c r="F279" s="55"/>
      <c r="K279" s="55"/>
      <c r="L279" s="55"/>
    </row>
    <row r="280">
      <c r="B280" s="28"/>
      <c r="C280" s="28"/>
      <c r="E280" s="55"/>
      <c r="F280" s="55"/>
      <c r="K280" s="55"/>
      <c r="L280" s="55"/>
    </row>
    <row r="281">
      <c r="B281" s="28"/>
      <c r="C281" s="28"/>
      <c r="E281" s="55"/>
      <c r="F281" s="55"/>
      <c r="K281" s="55"/>
      <c r="L281" s="55"/>
    </row>
    <row r="282">
      <c r="B282" s="28"/>
      <c r="C282" s="28"/>
      <c r="E282" s="55"/>
      <c r="F282" s="55"/>
      <c r="K282" s="55"/>
      <c r="L282" s="55"/>
    </row>
    <row r="283">
      <c r="B283" s="28"/>
      <c r="C283" s="28"/>
      <c r="E283" s="55"/>
      <c r="F283" s="55"/>
      <c r="K283" s="55"/>
      <c r="L283" s="55"/>
    </row>
    <row r="284">
      <c r="B284" s="28"/>
      <c r="C284" s="28"/>
      <c r="E284" s="55"/>
      <c r="F284" s="55"/>
      <c r="K284" s="55"/>
      <c r="L284" s="55"/>
    </row>
    <row r="285">
      <c r="B285" s="28"/>
      <c r="C285" s="28"/>
      <c r="E285" s="55"/>
      <c r="F285" s="55"/>
      <c r="K285" s="55"/>
      <c r="L285" s="55"/>
    </row>
    <row r="286">
      <c r="B286" s="28"/>
      <c r="C286" s="28"/>
      <c r="E286" s="55"/>
      <c r="F286" s="55"/>
      <c r="K286" s="55"/>
      <c r="L286" s="55"/>
    </row>
    <row r="287">
      <c r="B287" s="28"/>
      <c r="C287" s="28"/>
      <c r="E287" s="55"/>
      <c r="F287" s="55"/>
      <c r="K287" s="55"/>
      <c r="L287" s="55"/>
    </row>
    <row r="288">
      <c r="B288" s="28"/>
      <c r="C288" s="28"/>
      <c r="E288" s="55"/>
      <c r="F288" s="55"/>
      <c r="K288" s="55"/>
      <c r="L288" s="55"/>
    </row>
    <row r="289">
      <c r="B289" s="28"/>
      <c r="C289" s="28"/>
      <c r="E289" s="55"/>
      <c r="F289" s="55"/>
      <c r="K289" s="55"/>
      <c r="L289" s="55"/>
    </row>
    <row r="290">
      <c r="B290" s="28"/>
      <c r="C290" s="28"/>
      <c r="E290" s="55"/>
      <c r="F290" s="55"/>
      <c r="K290" s="55"/>
      <c r="L290" s="55"/>
    </row>
    <row r="291">
      <c r="B291" s="28"/>
      <c r="C291" s="28"/>
      <c r="E291" s="55"/>
      <c r="F291" s="55"/>
      <c r="K291" s="55"/>
      <c r="L291" s="55"/>
    </row>
    <row r="292">
      <c r="B292" s="28"/>
      <c r="C292" s="28"/>
      <c r="E292" s="55"/>
      <c r="F292" s="55"/>
      <c r="K292" s="55"/>
      <c r="L292" s="55"/>
    </row>
    <row r="293">
      <c r="B293" s="28"/>
      <c r="C293" s="28"/>
      <c r="E293" s="55"/>
      <c r="F293" s="55"/>
      <c r="K293" s="55"/>
      <c r="L293" s="55"/>
    </row>
    <row r="294">
      <c r="B294" s="28"/>
      <c r="C294" s="28"/>
      <c r="E294" s="55"/>
      <c r="F294" s="55"/>
      <c r="K294" s="55"/>
      <c r="L294" s="55"/>
    </row>
    <row r="295">
      <c r="B295" s="28"/>
      <c r="C295" s="28"/>
      <c r="E295" s="55"/>
      <c r="F295" s="55"/>
      <c r="K295" s="55"/>
      <c r="L295" s="55"/>
    </row>
    <row r="296">
      <c r="B296" s="28"/>
      <c r="C296" s="28"/>
      <c r="E296" s="55"/>
      <c r="F296" s="55"/>
      <c r="K296" s="55"/>
      <c r="L296" s="55"/>
    </row>
    <row r="297">
      <c r="B297" s="28"/>
      <c r="C297" s="28"/>
      <c r="E297" s="55"/>
      <c r="F297" s="55"/>
      <c r="K297" s="55"/>
      <c r="L297" s="55"/>
    </row>
    <row r="298">
      <c r="B298" s="28"/>
      <c r="C298" s="28"/>
      <c r="E298" s="55"/>
      <c r="F298" s="55"/>
      <c r="K298" s="55"/>
      <c r="L298" s="55"/>
    </row>
    <row r="299">
      <c r="B299" s="28"/>
      <c r="C299" s="28"/>
      <c r="E299" s="55"/>
      <c r="F299" s="55"/>
      <c r="K299" s="55"/>
      <c r="L299" s="55"/>
    </row>
    <row r="300">
      <c r="B300" s="28"/>
      <c r="C300" s="28"/>
      <c r="E300" s="55"/>
      <c r="F300" s="55"/>
      <c r="K300" s="55"/>
      <c r="L300" s="55"/>
    </row>
    <row r="301">
      <c r="B301" s="28"/>
      <c r="C301" s="28"/>
      <c r="E301" s="55"/>
      <c r="F301" s="55"/>
      <c r="K301" s="55"/>
      <c r="L301" s="55"/>
    </row>
    <row r="302">
      <c r="B302" s="28"/>
      <c r="C302" s="28"/>
      <c r="E302" s="55"/>
      <c r="F302" s="55"/>
      <c r="K302" s="55"/>
      <c r="L302" s="55"/>
    </row>
    <row r="303">
      <c r="B303" s="28"/>
      <c r="C303" s="28"/>
      <c r="E303" s="55"/>
      <c r="F303" s="55"/>
      <c r="K303" s="55"/>
      <c r="L303" s="55"/>
    </row>
    <row r="304">
      <c r="B304" s="28"/>
      <c r="C304" s="28"/>
      <c r="E304" s="55"/>
      <c r="F304" s="55"/>
      <c r="K304" s="55"/>
      <c r="L304" s="55"/>
    </row>
    <row r="305">
      <c r="B305" s="28"/>
      <c r="C305" s="28"/>
      <c r="E305" s="55"/>
      <c r="F305" s="55"/>
      <c r="K305" s="55"/>
      <c r="L305" s="55"/>
    </row>
    <row r="306">
      <c r="B306" s="28"/>
      <c r="C306" s="28"/>
      <c r="E306" s="55"/>
      <c r="F306" s="55"/>
      <c r="K306" s="55"/>
      <c r="L306" s="55"/>
    </row>
    <row r="307">
      <c r="B307" s="28"/>
      <c r="C307" s="28"/>
      <c r="E307" s="55"/>
      <c r="F307" s="55"/>
      <c r="K307" s="55"/>
      <c r="L307" s="55"/>
    </row>
    <row r="308">
      <c r="B308" s="28"/>
      <c r="C308" s="28"/>
      <c r="E308" s="55"/>
      <c r="F308" s="55"/>
      <c r="K308" s="55"/>
      <c r="L308" s="55"/>
    </row>
    <row r="309">
      <c r="B309" s="28"/>
      <c r="C309" s="28"/>
      <c r="E309" s="55"/>
      <c r="F309" s="55"/>
      <c r="K309" s="55"/>
      <c r="L309" s="55"/>
    </row>
    <row r="310">
      <c r="B310" s="28"/>
      <c r="C310" s="28"/>
      <c r="E310" s="55"/>
      <c r="F310" s="55"/>
      <c r="K310" s="55"/>
      <c r="L310" s="55"/>
    </row>
    <row r="311">
      <c r="B311" s="28"/>
      <c r="C311" s="28"/>
      <c r="E311" s="55"/>
      <c r="F311" s="55"/>
      <c r="K311" s="55"/>
      <c r="L311" s="55"/>
    </row>
    <row r="312">
      <c r="B312" s="28"/>
      <c r="C312" s="28"/>
      <c r="E312" s="55"/>
      <c r="F312" s="55"/>
      <c r="K312" s="55"/>
      <c r="L312" s="55"/>
    </row>
    <row r="313">
      <c r="B313" s="28"/>
      <c r="C313" s="28"/>
      <c r="E313" s="55"/>
      <c r="F313" s="55"/>
      <c r="K313" s="55"/>
      <c r="L313" s="55"/>
    </row>
    <row r="314">
      <c r="B314" s="28"/>
      <c r="C314" s="28"/>
      <c r="E314" s="55"/>
      <c r="F314" s="55"/>
      <c r="K314" s="55"/>
      <c r="L314" s="55"/>
    </row>
    <row r="315">
      <c r="B315" s="28"/>
      <c r="C315" s="28"/>
      <c r="E315" s="55"/>
      <c r="F315" s="55"/>
      <c r="K315" s="55"/>
      <c r="L315" s="55"/>
    </row>
    <row r="316">
      <c r="B316" s="28"/>
      <c r="C316" s="28"/>
      <c r="E316" s="55"/>
      <c r="F316" s="55"/>
      <c r="K316" s="55"/>
      <c r="L316" s="55"/>
    </row>
    <row r="317">
      <c r="B317" s="28"/>
      <c r="C317" s="28"/>
      <c r="E317" s="55"/>
      <c r="F317" s="55"/>
      <c r="K317" s="55"/>
      <c r="L317" s="55"/>
    </row>
    <row r="318">
      <c r="B318" s="28"/>
      <c r="C318" s="28"/>
      <c r="E318" s="55"/>
      <c r="F318" s="55"/>
      <c r="K318" s="55"/>
      <c r="L318" s="55"/>
    </row>
    <row r="319">
      <c r="B319" s="28"/>
      <c r="C319" s="28"/>
      <c r="E319" s="55"/>
      <c r="F319" s="55"/>
      <c r="K319" s="55"/>
      <c r="L319" s="55"/>
    </row>
    <row r="320">
      <c r="B320" s="28"/>
      <c r="C320" s="28"/>
      <c r="E320" s="55"/>
      <c r="F320" s="55"/>
      <c r="K320" s="55"/>
      <c r="L320" s="55"/>
    </row>
    <row r="321">
      <c r="B321" s="28"/>
      <c r="C321" s="28"/>
      <c r="E321" s="55"/>
      <c r="F321" s="55"/>
      <c r="K321" s="55"/>
      <c r="L321" s="55"/>
    </row>
    <row r="322">
      <c r="B322" s="28"/>
      <c r="C322" s="28"/>
      <c r="E322" s="55"/>
      <c r="F322" s="55"/>
      <c r="K322" s="55"/>
      <c r="L322" s="55"/>
    </row>
    <row r="323">
      <c r="B323" s="28"/>
      <c r="C323" s="28"/>
      <c r="E323" s="55"/>
      <c r="F323" s="55"/>
      <c r="K323" s="55"/>
      <c r="L323" s="55"/>
    </row>
    <row r="324">
      <c r="B324" s="28"/>
      <c r="C324" s="28"/>
      <c r="E324" s="55"/>
      <c r="F324" s="55"/>
      <c r="K324" s="55"/>
      <c r="L324" s="55"/>
    </row>
    <row r="325">
      <c r="B325" s="28"/>
      <c r="C325" s="28"/>
      <c r="E325" s="55"/>
      <c r="F325" s="55"/>
      <c r="K325" s="55"/>
      <c r="L325" s="55"/>
    </row>
    <row r="326">
      <c r="B326" s="28"/>
      <c r="C326" s="28"/>
      <c r="E326" s="55"/>
      <c r="F326" s="55"/>
      <c r="K326" s="55"/>
      <c r="L326" s="55"/>
    </row>
    <row r="327">
      <c r="B327" s="28"/>
      <c r="C327" s="28"/>
      <c r="E327" s="55"/>
      <c r="F327" s="55"/>
      <c r="K327" s="55"/>
      <c r="L327" s="55"/>
    </row>
    <row r="328">
      <c r="B328" s="28"/>
      <c r="C328" s="28"/>
      <c r="E328" s="55"/>
      <c r="F328" s="55"/>
      <c r="K328" s="55"/>
      <c r="L328" s="55"/>
    </row>
    <row r="329">
      <c r="B329" s="28"/>
      <c r="C329" s="28"/>
      <c r="E329" s="55"/>
      <c r="F329" s="55"/>
      <c r="K329" s="55"/>
      <c r="L329" s="55"/>
    </row>
    <row r="330">
      <c r="B330" s="28"/>
      <c r="C330" s="28"/>
      <c r="E330" s="55"/>
      <c r="F330" s="55"/>
      <c r="K330" s="55"/>
      <c r="L330" s="55"/>
    </row>
    <row r="331">
      <c r="B331" s="28"/>
      <c r="C331" s="28"/>
      <c r="E331" s="55"/>
      <c r="F331" s="55"/>
      <c r="K331" s="55"/>
      <c r="L331" s="55"/>
    </row>
    <row r="332">
      <c r="B332" s="28"/>
      <c r="C332" s="28"/>
      <c r="E332" s="55"/>
      <c r="F332" s="55"/>
      <c r="K332" s="55"/>
      <c r="L332" s="55"/>
    </row>
    <row r="333">
      <c r="B333" s="28"/>
      <c r="C333" s="28"/>
      <c r="E333" s="55"/>
      <c r="F333" s="55"/>
      <c r="K333" s="55"/>
      <c r="L333" s="55"/>
    </row>
    <row r="334">
      <c r="B334" s="28"/>
      <c r="C334" s="28"/>
      <c r="E334" s="55"/>
      <c r="F334" s="55"/>
      <c r="K334" s="55"/>
      <c r="L334" s="55"/>
    </row>
    <row r="335">
      <c r="B335" s="28"/>
      <c r="C335" s="28"/>
      <c r="E335" s="55"/>
      <c r="F335" s="55"/>
      <c r="K335" s="55"/>
      <c r="L335" s="55"/>
    </row>
    <row r="336">
      <c r="B336" s="28"/>
      <c r="C336" s="28"/>
      <c r="E336" s="55"/>
      <c r="F336" s="55"/>
      <c r="K336" s="55"/>
      <c r="L336" s="55"/>
    </row>
    <row r="337">
      <c r="B337" s="28"/>
      <c r="C337" s="28"/>
      <c r="E337" s="55"/>
      <c r="F337" s="55"/>
      <c r="K337" s="55"/>
      <c r="L337" s="55"/>
    </row>
    <row r="338">
      <c r="B338" s="28"/>
      <c r="C338" s="28"/>
      <c r="E338" s="55"/>
      <c r="F338" s="55"/>
      <c r="K338" s="55"/>
      <c r="L338" s="55"/>
    </row>
    <row r="339">
      <c r="B339" s="28"/>
      <c r="C339" s="28"/>
      <c r="E339" s="55"/>
      <c r="F339" s="55"/>
      <c r="K339" s="55"/>
      <c r="L339" s="55"/>
    </row>
    <row r="340">
      <c r="B340" s="28"/>
      <c r="C340" s="28"/>
      <c r="E340" s="55"/>
      <c r="F340" s="55"/>
      <c r="K340" s="55"/>
      <c r="L340" s="55"/>
    </row>
    <row r="341">
      <c r="B341" s="28"/>
      <c r="C341" s="28"/>
      <c r="E341" s="55"/>
      <c r="F341" s="55"/>
      <c r="K341" s="55"/>
      <c r="L341" s="55"/>
    </row>
    <row r="342">
      <c r="B342" s="28"/>
      <c r="C342" s="28"/>
      <c r="E342" s="55"/>
      <c r="F342" s="55"/>
      <c r="K342" s="55"/>
      <c r="L342" s="55"/>
    </row>
    <row r="343">
      <c r="B343" s="28"/>
      <c r="C343" s="28"/>
      <c r="E343" s="55"/>
      <c r="F343" s="55"/>
      <c r="K343" s="55"/>
      <c r="L343" s="55"/>
    </row>
    <row r="344">
      <c r="B344" s="28"/>
      <c r="C344" s="28"/>
      <c r="E344" s="55"/>
      <c r="F344" s="55"/>
      <c r="K344" s="55"/>
      <c r="L344" s="55"/>
    </row>
    <row r="345">
      <c r="B345" s="28"/>
      <c r="C345" s="28"/>
      <c r="E345" s="55"/>
      <c r="F345" s="55"/>
      <c r="K345" s="55"/>
      <c r="L345" s="55"/>
    </row>
    <row r="346">
      <c r="B346" s="28"/>
      <c r="C346" s="28"/>
      <c r="E346" s="55"/>
      <c r="F346" s="55"/>
      <c r="K346" s="55"/>
      <c r="L346" s="55"/>
    </row>
    <row r="347">
      <c r="B347" s="28"/>
      <c r="C347" s="28"/>
      <c r="E347" s="55"/>
      <c r="F347" s="55"/>
      <c r="K347" s="55"/>
      <c r="L347" s="55"/>
    </row>
    <row r="348">
      <c r="B348" s="28"/>
      <c r="C348" s="28"/>
      <c r="E348" s="55"/>
      <c r="F348" s="55"/>
      <c r="K348" s="55"/>
      <c r="L348" s="55"/>
    </row>
    <row r="349">
      <c r="B349" s="28"/>
      <c r="C349" s="28"/>
      <c r="E349" s="55"/>
      <c r="F349" s="55"/>
      <c r="K349" s="55"/>
      <c r="L349" s="55"/>
    </row>
    <row r="350">
      <c r="B350" s="28"/>
      <c r="C350" s="28"/>
      <c r="E350" s="55"/>
      <c r="F350" s="55"/>
      <c r="K350" s="55"/>
      <c r="L350" s="55"/>
    </row>
    <row r="351">
      <c r="B351" s="28"/>
      <c r="C351" s="28"/>
      <c r="E351" s="55"/>
      <c r="F351" s="55"/>
      <c r="K351" s="55"/>
      <c r="L351" s="55"/>
    </row>
    <row r="352">
      <c r="B352" s="28"/>
      <c r="C352" s="28"/>
      <c r="E352" s="55"/>
      <c r="F352" s="55"/>
      <c r="K352" s="55"/>
      <c r="L352" s="55"/>
    </row>
    <row r="353">
      <c r="B353" s="28"/>
      <c r="C353" s="28"/>
      <c r="E353" s="55"/>
      <c r="F353" s="55"/>
      <c r="K353" s="55"/>
      <c r="L353" s="55"/>
    </row>
    <row r="354">
      <c r="B354" s="28"/>
      <c r="C354" s="28"/>
      <c r="E354" s="55"/>
      <c r="F354" s="55"/>
      <c r="K354" s="55"/>
      <c r="L354" s="55"/>
    </row>
    <row r="355">
      <c r="B355" s="28"/>
      <c r="C355" s="28"/>
      <c r="E355" s="55"/>
      <c r="F355" s="55"/>
      <c r="K355" s="55"/>
      <c r="L355" s="55"/>
    </row>
    <row r="356">
      <c r="B356" s="28"/>
      <c r="C356" s="28"/>
      <c r="E356" s="55"/>
      <c r="F356" s="55"/>
      <c r="K356" s="55"/>
      <c r="L356" s="55"/>
    </row>
    <row r="357">
      <c r="B357" s="28"/>
      <c r="C357" s="28"/>
      <c r="E357" s="55"/>
      <c r="F357" s="55"/>
      <c r="K357" s="55"/>
      <c r="L357" s="55"/>
    </row>
    <row r="358">
      <c r="B358" s="28"/>
      <c r="C358" s="28"/>
      <c r="E358" s="55"/>
      <c r="F358" s="55"/>
      <c r="K358" s="55"/>
      <c r="L358" s="55"/>
    </row>
    <row r="359">
      <c r="B359" s="28"/>
      <c r="C359" s="28"/>
      <c r="E359" s="55"/>
      <c r="F359" s="55"/>
      <c r="K359" s="55"/>
      <c r="L359" s="55"/>
    </row>
    <row r="360">
      <c r="B360" s="28"/>
      <c r="C360" s="28"/>
      <c r="E360" s="55"/>
      <c r="F360" s="55"/>
      <c r="K360" s="55"/>
      <c r="L360" s="55"/>
    </row>
    <row r="361">
      <c r="B361" s="28"/>
      <c r="C361" s="28"/>
      <c r="E361" s="55"/>
      <c r="F361" s="55"/>
      <c r="K361" s="55"/>
      <c r="L361" s="55"/>
    </row>
    <row r="362">
      <c r="B362" s="28"/>
      <c r="C362" s="28"/>
      <c r="E362" s="55"/>
      <c r="F362" s="55"/>
      <c r="K362" s="55"/>
      <c r="L362" s="55"/>
    </row>
    <row r="363">
      <c r="B363" s="28"/>
      <c r="C363" s="28"/>
      <c r="E363" s="55"/>
      <c r="F363" s="55"/>
      <c r="K363" s="55"/>
      <c r="L363" s="55"/>
    </row>
    <row r="364">
      <c r="B364" s="28"/>
      <c r="C364" s="28"/>
      <c r="E364" s="55"/>
      <c r="F364" s="55"/>
      <c r="K364" s="55"/>
      <c r="L364" s="55"/>
    </row>
    <row r="365">
      <c r="B365" s="28"/>
      <c r="C365" s="28"/>
      <c r="E365" s="55"/>
      <c r="F365" s="55"/>
      <c r="K365" s="55"/>
      <c r="L365" s="55"/>
    </row>
    <row r="366">
      <c r="B366" s="28"/>
      <c r="C366" s="28"/>
      <c r="E366" s="55"/>
      <c r="F366" s="55"/>
      <c r="K366" s="55"/>
      <c r="L366" s="55"/>
    </row>
    <row r="367">
      <c r="B367" s="28"/>
      <c r="C367" s="28"/>
      <c r="E367" s="55"/>
      <c r="F367" s="55"/>
      <c r="K367" s="55"/>
      <c r="L367" s="55"/>
    </row>
    <row r="368">
      <c r="B368" s="28"/>
      <c r="C368" s="28"/>
      <c r="E368" s="55"/>
      <c r="F368" s="55"/>
      <c r="K368" s="55"/>
      <c r="L368" s="55"/>
    </row>
    <row r="369">
      <c r="B369" s="28"/>
      <c r="C369" s="28"/>
      <c r="E369" s="55"/>
      <c r="F369" s="55"/>
      <c r="K369" s="55"/>
      <c r="L369" s="55"/>
    </row>
    <row r="370">
      <c r="B370" s="28"/>
      <c r="C370" s="28"/>
      <c r="E370" s="55"/>
      <c r="F370" s="55"/>
      <c r="K370" s="55"/>
      <c r="L370" s="55"/>
    </row>
    <row r="371">
      <c r="B371" s="28"/>
      <c r="C371" s="28"/>
      <c r="E371" s="55"/>
      <c r="F371" s="55"/>
      <c r="K371" s="55"/>
      <c r="L371" s="55"/>
    </row>
    <row r="372">
      <c r="B372" s="28"/>
      <c r="C372" s="28"/>
      <c r="E372" s="55"/>
      <c r="F372" s="55"/>
      <c r="K372" s="55"/>
      <c r="L372" s="55"/>
    </row>
    <row r="373">
      <c r="B373" s="28"/>
      <c r="C373" s="28"/>
      <c r="E373" s="55"/>
      <c r="F373" s="55"/>
      <c r="K373" s="55"/>
      <c r="L373" s="55"/>
    </row>
    <row r="374">
      <c r="B374" s="28"/>
      <c r="C374" s="28"/>
      <c r="E374" s="55"/>
      <c r="F374" s="55"/>
      <c r="K374" s="55"/>
      <c r="L374" s="55"/>
    </row>
    <row r="375">
      <c r="B375" s="28"/>
      <c r="C375" s="28"/>
      <c r="E375" s="55"/>
      <c r="F375" s="55"/>
      <c r="K375" s="55"/>
      <c r="L375" s="55"/>
    </row>
    <row r="376">
      <c r="B376" s="28"/>
      <c r="C376" s="28"/>
      <c r="E376" s="55"/>
      <c r="F376" s="55"/>
      <c r="K376" s="55"/>
      <c r="L376" s="55"/>
    </row>
    <row r="377">
      <c r="B377" s="28"/>
      <c r="C377" s="28"/>
      <c r="E377" s="55"/>
      <c r="F377" s="55"/>
      <c r="K377" s="55"/>
      <c r="L377" s="55"/>
    </row>
    <row r="378">
      <c r="B378" s="28"/>
      <c r="C378" s="28"/>
      <c r="E378" s="55"/>
      <c r="F378" s="55"/>
      <c r="K378" s="55"/>
      <c r="L378" s="55"/>
    </row>
    <row r="379">
      <c r="B379" s="28"/>
      <c r="C379" s="28"/>
      <c r="E379" s="55"/>
      <c r="F379" s="55"/>
      <c r="K379" s="55"/>
      <c r="L379" s="55"/>
    </row>
    <row r="380">
      <c r="B380" s="28"/>
      <c r="C380" s="28"/>
      <c r="E380" s="55"/>
      <c r="F380" s="55"/>
      <c r="K380" s="55"/>
      <c r="L380" s="55"/>
    </row>
    <row r="381">
      <c r="B381" s="28"/>
      <c r="C381" s="28"/>
      <c r="E381" s="55"/>
      <c r="F381" s="55"/>
      <c r="K381" s="55"/>
      <c r="L381" s="55"/>
    </row>
    <row r="382">
      <c r="B382" s="28"/>
      <c r="C382" s="28"/>
      <c r="E382" s="55"/>
      <c r="F382" s="55"/>
      <c r="K382" s="55"/>
      <c r="L382" s="55"/>
    </row>
    <row r="383">
      <c r="B383" s="28"/>
      <c r="C383" s="28"/>
      <c r="E383" s="55"/>
      <c r="F383" s="55"/>
      <c r="K383" s="55"/>
      <c r="L383" s="55"/>
    </row>
    <row r="384">
      <c r="B384" s="28"/>
      <c r="C384" s="28"/>
      <c r="E384" s="55"/>
      <c r="F384" s="55"/>
      <c r="K384" s="55"/>
      <c r="L384" s="55"/>
    </row>
    <row r="385">
      <c r="B385" s="28"/>
      <c r="C385" s="28"/>
      <c r="E385" s="55"/>
      <c r="F385" s="55"/>
      <c r="K385" s="55"/>
      <c r="L385" s="55"/>
    </row>
    <row r="386">
      <c r="B386" s="28"/>
      <c r="C386" s="28"/>
      <c r="E386" s="55"/>
      <c r="F386" s="55"/>
      <c r="K386" s="55"/>
      <c r="L386" s="55"/>
    </row>
    <row r="387">
      <c r="B387" s="28"/>
      <c r="C387" s="28"/>
      <c r="E387" s="55"/>
      <c r="F387" s="55"/>
      <c r="K387" s="55"/>
      <c r="L387" s="55"/>
    </row>
    <row r="388">
      <c r="B388" s="28"/>
      <c r="C388" s="28"/>
      <c r="E388" s="55"/>
      <c r="F388" s="55"/>
      <c r="K388" s="55"/>
      <c r="L388" s="55"/>
    </row>
    <row r="389">
      <c r="B389" s="28"/>
      <c r="C389" s="28"/>
      <c r="E389" s="55"/>
      <c r="F389" s="55"/>
      <c r="K389" s="55"/>
      <c r="L389" s="55"/>
    </row>
    <row r="390">
      <c r="B390" s="28"/>
      <c r="C390" s="28"/>
      <c r="E390" s="55"/>
      <c r="F390" s="55"/>
      <c r="K390" s="55"/>
      <c r="L390" s="55"/>
    </row>
    <row r="391">
      <c r="B391" s="28"/>
      <c r="C391" s="28"/>
      <c r="E391" s="55"/>
      <c r="F391" s="55"/>
      <c r="K391" s="55"/>
      <c r="L391" s="55"/>
    </row>
    <row r="392">
      <c r="B392" s="28"/>
      <c r="C392" s="28"/>
      <c r="E392" s="55"/>
      <c r="F392" s="55"/>
      <c r="K392" s="55"/>
      <c r="L392" s="55"/>
    </row>
    <row r="393">
      <c r="B393" s="28"/>
      <c r="C393" s="28"/>
      <c r="E393" s="55"/>
      <c r="F393" s="55"/>
      <c r="K393" s="55"/>
      <c r="L393" s="55"/>
    </row>
    <row r="394">
      <c r="B394" s="28"/>
      <c r="C394" s="28"/>
      <c r="E394" s="55"/>
      <c r="F394" s="55"/>
      <c r="K394" s="55"/>
      <c r="L394" s="55"/>
    </row>
    <row r="395">
      <c r="B395" s="28"/>
      <c r="C395" s="28"/>
      <c r="E395" s="55"/>
      <c r="F395" s="55"/>
      <c r="K395" s="55"/>
      <c r="L395" s="55"/>
    </row>
    <row r="396">
      <c r="B396" s="28"/>
      <c r="C396" s="28"/>
      <c r="E396" s="55"/>
      <c r="F396" s="55"/>
      <c r="K396" s="55"/>
      <c r="L396" s="55"/>
    </row>
    <row r="397">
      <c r="B397" s="28"/>
      <c r="C397" s="28"/>
      <c r="E397" s="55"/>
      <c r="F397" s="55"/>
      <c r="K397" s="55"/>
      <c r="L397" s="55"/>
    </row>
    <row r="398">
      <c r="B398" s="28"/>
      <c r="C398" s="28"/>
      <c r="E398" s="55"/>
      <c r="F398" s="55"/>
      <c r="K398" s="55"/>
      <c r="L398" s="55"/>
    </row>
    <row r="399">
      <c r="B399" s="28"/>
      <c r="C399" s="28"/>
      <c r="E399" s="55"/>
      <c r="F399" s="55"/>
      <c r="K399" s="55"/>
      <c r="L399" s="55"/>
    </row>
    <row r="400">
      <c r="B400" s="28"/>
      <c r="C400" s="28"/>
      <c r="E400" s="55"/>
      <c r="F400" s="55"/>
      <c r="K400" s="55"/>
      <c r="L400" s="55"/>
    </row>
    <row r="401">
      <c r="B401" s="28"/>
      <c r="C401" s="28"/>
      <c r="E401" s="55"/>
      <c r="F401" s="55"/>
      <c r="K401" s="55"/>
      <c r="L401" s="55"/>
    </row>
    <row r="402">
      <c r="B402" s="28"/>
      <c r="C402" s="28"/>
      <c r="E402" s="55"/>
      <c r="F402" s="55"/>
      <c r="K402" s="55"/>
      <c r="L402" s="55"/>
    </row>
    <row r="403">
      <c r="B403" s="28"/>
      <c r="C403" s="28"/>
      <c r="E403" s="55"/>
      <c r="F403" s="55"/>
      <c r="K403" s="55"/>
      <c r="L403" s="55"/>
    </row>
    <row r="404">
      <c r="B404" s="28"/>
      <c r="C404" s="28"/>
      <c r="E404" s="55"/>
      <c r="F404" s="55"/>
      <c r="K404" s="55"/>
      <c r="L404" s="55"/>
    </row>
    <row r="405">
      <c r="B405" s="28"/>
      <c r="C405" s="28"/>
      <c r="E405" s="55"/>
      <c r="F405" s="55"/>
      <c r="K405" s="55"/>
      <c r="L405" s="55"/>
    </row>
    <row r="406">
      <c r="B406" s="28"/>
      <c r="C406" s="28"/>
      <c r="E406" s="55"/>
      <c r="F406" s="55"/>
      <c r="K406" s="55"/>
      <c r="L406" s="55"/>
    </row>
    <row r="407">
      <c r="B407" s="28"/>
      <c r="C407" s="28"/>
      <c r="E407" s="55"/>
      <c r="F407" s="55"/>
      <c r="K407" s="55"/>
      <c r="L407" s="55"/>
    </row>
    <row r="408">
      <c r="B408" s="28"/>
      <c r="C408" s="28"/>
      <c r="E408" s="55"/>
      <c r="F408" s="55"/>
      <c r="K408" s="55"/>
      <c r="L408" s="55"/>
    </row>
    <row r="409">
      <c r="B409" s="28"/>
      <c r="C409" s="28"/>
      <c r="E409" s="55"/>
      <c r="F409" s="55"/>
      <c r="K409" s="55"/>
      <c r="L409" s="55"/>
    </row>
    <row r="410">
      <c r="B410" s="28"/>
      <c r="C410" s="28"/>
      <c r="E410" s="55"/>
      <c r="F410" s="55"/>
      <c r="K410" s="55"/>
      <c r="L410" s="55"/>
    </row>
    <row r="411">
      <c r="B411" s="28"/>
      <c r="C411" s="28"/>
      <c r="E411" s="55"/>
      <c r="F411" s="55"/>
      <c r="K411" s="55"/>
      <c r="L411" s="55"/>
    </row>
    <row r="412">
      <c r="B412" s="28"/>
      <c r="C412" s="28"/>
      <c r="E412" s="55"/>
      <c r="F412" s="55"/>
      <c r="K412" s="55"/>
      <c r="L412" s="55"/>
    </row>
    <row r="413">
      <c r="B413" s="28"/>
      <c r="C413" s="28"/>
      <c r="E413" s="55"/>
      <c r="F413" s="55"/>
      <c r="K413" s="55"/>
      <c r="L413" s="55"/>
    </row>
    <row r="414">
      <c r="B414" s="28"/>
      <c r="C414" s="28"/>
      <c r="E414" s="55"/>
      <c r="F414" s="55"/>
      <c r="K414" s="55"/>
      <c r="L414" s="55"/>
    </row>
    <row r="415">
      <c r="B415" s="28"/>
      <c r="C415" s="28"/>
      <c r="E415" s="55"/>
      <c r="F415" s="55"/>
      <c r="K415" s="55"/>
      <c r="L415" s="55"/>
    </row>
    <row r="416">
      <c r="B416" s="28"/>
      <c r="C416" s="28"/>
      <c r="E416" s="55"/>
      <c r="F416" s="55"/>
      <c r="K416" s="55"/>
      <c r="L416" s="55"/>
    </row>
    <row r="417">
      <c r="B417" s="28"/>
      <c r="C417" s="28"/>
      <c r="E417" s="55"/>
      <c r="F417" s="55"/>
      <c r="K417" s="55"/>
      <c r="L417" s="55"/>
    </row>
    <row r="418">
      <c r="B418" s="28"/>
      <c r="C418" s="28"/>
      <c r="E418" s="55"/>
      <c r="F418" s="55"/>
      <c r="K418" s="55"/>
      <c r="L418" s="55"/>
    </row>
    <row r="419">
      <c r="B419" s="28"/>
      <c r="C419" s="28"/>
      <c r="E419" s="55"/>
      <c r="F419" s="55"/>
      <c r="K419" s="55"/>
      <c r="L419" s="55"/>
    </row>
    <row r="420">
      <c r="B420" s="28"/>
      <c r="C420" s="28"/>
      <c r="E420" s="55"/>
      <c r="F420" s="55"/>
      <c r="K420" s="55"/>
      <c r="L420" s="55"/>
    </row>
    <row r="421">
      <c r="B421" s="28"/>
      <c r="C421" s="28"/>
      <c r="E421" s="55"/>
      <c r="F421" s="55"/>
      <c r="K421" s="55"/>
      <c r="L421" s="55"/>
    </row>
    <row r="422">
      <c r="B422" s="28"/>
      <c r="C422" s="28"/>
      <c r="E422" s="55"/>
      <c r="F422" s="55"/>
      <c r="K422" s="55"/>
      <c r="L422" s="55"/>
    </row>
    <row r="423">
      <c r="B423" s="28"/>
      <c r="C423" s="28"/>
      <c r="E423" s="55"/>
      <c r="F423" s="55"/>
      <c r="K423" s="55"/>
      <c r="L423" s="55"/>
    </row>
    <row r="424">
      <c r="B424" s="28"/>
      <c r="C424" s="28"/>
      <c r="E424" s="55"/>
      <c r="F424" s="55"/>
      <c r="K424" s="55"/>
      <c r="L424" s="55"/>
    </row>
    <row r="425">
      <c r="B425" s="28"/>
      <c r="C425" s="28"/>
      <c r="E425" s="55"/>
      <c r="F425" s="55"/>
      <c r="K425" s="55"/>
      <c r="L425" s="55"/>
    </row>
    <row r="426">
      <c r="B426" s="28"/>
      <c r="C426" s="28"/>
      <c r="E426" s="55"/>
      <c r="F426" s="55"/>
      <c r="K426" s="55"/>
      <c r="L426" s="55"/>
    </row>
    <row r="427">
      <c r="B427" s="28"/>
      <c r="C427" s="28"/>
      <c r="E427" s="55"/>
      <c r="F427" s="55"/>
      <c r="K427" s="55"/>
      <c r="L427" s="55"/>
    </row>
    <row r="428">
      <c r="B428" s="28"/>
      <c r="C428" s="28"/>
      <c r="E428" s="55"/>
      <c r="F428" s="55"/>
      <c r="K428" s="55"/>
      <c r="L428" s="55"/>
    </row>
    <row r="429">
      <c r="B429" s="28"/>
      <c r="C429" s="28"/>
      <c r="E429" s="55"/>
      <c r="F429" s="55"/>
      <c r="K429" s="55"/>
      <c r="L429" s="55"/>
    </row>
    <row r="430">
      <c r="B430" s="28"/>
      <c r="C430" s="28"/>
      <c r="E430" s="55"/>
      <c r="F430" s="55"/>
      <c r="K430" s="55"/>
      <c r="L430" s="55"/>
    </row>
    <row r="431">
      <c r="B431" s="28"/>
      <c r="C431" s="28"/>
      <c r="E431" s="55"/>
      <c r="F431" s="55"/>
      <c r="K431" s="55"/>
      <c r="L431" s="55"/>
    </row>
    <row r="432">
      <c r="B432" s="28"/>
      <c r="C432" s="28"/>
      <c r="E432" s="55"/>
      <c r="F432" s="55"/>
      <c r="K432" s="55"/>
      <c r="L432" s="55"/>
    </row>
    <row r="433">
      <c r="B433" s="28"/>
      <c r="C433" s="28"/>
      <c r="E433" s="55"/>
      <c r="F433" s="55"/>
      <c r="K433" s="55"/>
      <c r="L433" s="55"/>
    </row>
    <row r="434">
      <c r="B434" s="28"/>
      <c r="C434" s="28"/>
      <c r="E434" s="55"/>
      <c r="F434" s="55"/>
      <c r="K434" s="55"/>
      <c r="L434" s="55"/>
    </row>
    <row r="435">
      <c r="B435" s="28"/>
      <c r="C435" s="28"/>
      <c r="E435" s="55"/>
      <c r="F435" s="55"/>
      <c r="K435" s="55"/>
      <c r="L435" s="55"/>
    </row>
    <row r="436">
      <c r="B436" s="28"/>
      <c r="C436" s="28"/>
      <c r="E436" s="55"/>
      <c r="F436" s="55"/>
      <c r="K436" s="55"/>
      <c r="L436" s="55"/>
    </row>
    <row r="437">
      <c r="B437" s="28"/>
      <c r="C437" s="28"/>
      <c r="E437" s="55"/>
      <c r="F437" s="55"/>
      <c r="K437" s="55"/>
      <c r="L437" s="55"/>
    </row>
    <row r="438">
      <c r="B438" s="28"/>
      <c r="C438" s="28"/>
      <c r="E438" s="55"/>
      <c r="F438" s="55"/>
      <c r="K438" s="55"/>
      <c r="L438" s="55"/>
    </row>
    <row r="439">
      <c r="B439" s="28"/>
      <c r="C439" s="28"/>
      <c r="E439" s="55"/>
      <c r="F439" s="55"/>
      <c r="K439" s="55"/>
      <c r="L439" s="55"/>
    </row>
    <row r="440">
      <c r="B440" s="28"/>
      <c r="C440" s="28"/>
      <c r="E440" s="55"/>
      <c r="F440" s="55"/>
      <c r="K440" s="55"/>
      <c r="L440" s="55"/>
    </row>
    <row r="441">
      <c r="B441" s="28"/>
      <c r="C441" s="28"/>
      <c r="E441" s="55"/>
      <c r="F441" s="55"/>
      <c r="K441" s="55"/>
      <c r="L441" s="55"/>
    </row>
    <row r="442">
      <c r="B442" s="28"/>
      <c r="C442" s="28"/>
      <c r="E442" s="55"/>
      <c r="F442" s="55"/>
      <c r="K442" s="55"/>
      <c r="L442" s="55"/>
    </row>
    <row r="443">
      <c r="B443" s="28"/>
      <c r="C443" s="28"/>
      <c r="E443" s="55"/>
      <c r="F443" s="55"/>
      <c r="K443" s="55"/>
      <c r="L443" s="55"/>
    </row>
    <row r="444">
      <c r="B444" s="28"/>
      <c r="C444" s="28"/>
      <c r="E444" s="55"/>
      <c r="F444" s="55"/>
      <c r="K444" s="55"/>
      <c r="L444" s="55"/>
    </row>
    <row r="445">
      <c r="B445" s="28"/>
      <c r="C445" s="28"/>
      <c r="E445" s="55"/>
      <c r="F445" s="55"/>
      <c r="K445" s="55"/>
      <c r="L445" s="55"/>
    </row>
    <row r="446">
      <c r="B446" s="28"/>
      <c r="C446" s="28"/>
      <c r="E446" s="55"/>
      <c r="F446" s="55"/>
      <c r="K446" s="55"/>
      <c r="L446" s="55"/>
    </row>
    <row r="447">
      <c r="B447" s="28"/>
      <c r="C447" s="28"/>
      <c r="E447" s="55"/>
      <c r="F447" s="55"/>
      <c r="K447" s="55"/>
      <c r="L447" s="55"/>
    </row>
    <row r="448">
      <c r="B448" s="28"/>
      <c r="C448" s="28"/>
      <c r="E448" s="55"/>
      <c r="F448" s="55"/>
      <c r="K448" s="55"/>
      <c r="L448" s="55"/>
    </row>
    <row r="449">
      <c r="B449" s="28"/>
      <c r="C449" s="28"/>
      <c r="E449" s="55"/>
      <c r="F449" s="55"/>
      <c r="K449" s="55"/>
      <c r="L449" s="55"/>
    </row>
    <row r="450">
      <c r="B450" s="28"/>
      <c r="C450" s="28"/>
      <c r="E450" s="55"/>
      <c r="F450" s="55"/>
      <c r="K450" s="55"/>
      <c r="L450" s="55"/>
    </row>
    <row r="451">
      <c r="B451" s="28"/>
      <c r="C451" s="28"/>
      <c r="E451" s="55"/>
      <c r="F451" s="55"/>
      <c r="K451" s="55"/>
      <c r="L451" s="55"/>
    </row>
    <row r="452">
      <c r="B452" s="28"/>
      <c r="C452" s="28"/>
      <c r="E452" s="55"/>
      <c r="F452" s="55"/>
      <c r="K452" s="55"/>
      <c r="L452" s="55"/>
    </row>
    <row r="453">
      <c r="B453" s="28"/>
      <c r="C453" s="28"/>
      <c r="E453" s="55"/>
      <c r="F453" s="55"/>
      <c r="K453" s="55"/>
      <c r="L453" s="55"/>
    </row>
    <row r="454">
      <c r="B454" s="28"/>
      <c r="C454" s="28"/>
      <c r="E454" s="55"/>
      <c r="F454" s="55"/>
      <c r="K454" s="55"/>
      <c r="L454" s="55"/>
    </row>
    <row r="455">
      <c r="B455" s="28"/>
      <c r="C455" s="28"/>
      <c r="E455" s="55"/>
      <c r="F455" s="55"/>
      <c r="K455" s="55"/>
      <c r="L455" s="55"/>
    </row>
    <row r="456">
      <c r="B456" s="28"/>
      <c r="C456" s="28"/>
      <c r="E456" s="55"/>
      <c r="F456" s="55"/>
      <c r="K456" s="55"/>
      <c r="L456" s="55"/>
    </row>
    <row r="457">
      <c r="B457" s="28"/>
      <c r="C457" s="28"/>
      <c r="E457" s="55"/>
      <c r="F457" s="55"/>
      <c r="K457" s="55"/>
      <c r="L457" s="55"/>
    </row>
    <row r="458">
      <c r="B458" s="28"/>
      <c r="C458" s="28"/>
      <c r="E458" s="55"/>
      <c r="F458" s="55"/>
      <c r="K458" s="55"/>
      <c r="L458" s="55"/>
    </row>
    <row r="459">
      <c r="B459" s="28"/>
      <c r="C459" s="28"/>
      <c r="E459" s="55"/>
      <c r="F459" s="55"/>
      <c r="K459" s="55"/>
      <c r="L459" s="55"/>
    </row>
    <row r="460">
      <c r="B460" s="28"/>
      <c r="C460" s="28"/>
      <c r="E460" s="55"/>
      <c r="F460" s="55"/>
      <c r="K460" s="55"/>
      <c r="L460" s="55"/>
    </row>
    <row r="461">
      <c r="B461" s="28"/>
      <c r="C461" s="28"/>
      <c r="E461" s="55"/>
      <c r="F461" s="55"/>
      <c r="K461" s="55"/>
      <c r="L461" s="55"/>
    </row>
    <row r="462">
      <c r="B462" s="28"/>
      <c r="C462" s="28"/>
      <c r="E462" s="55"/>
      <c r="F462" s="55"/>
      <c r="K462" s="55"/>
      <c r="L462" s="55"/>
    </row>
    <row r="463">
      <c r="B463" s="28"/>
      <c r="C463" s="28"/>
      <c r="E463" s="55"/>
      <c r="F463" s="55"/>
      <c r="K463" s="55"/>
      <c r="L463" s="55"/>
    </row>
    <row r="464">
      <c r="B464" s="28"/>
      <c r="C464" s="28"/>
      <c r="E464" s="55"/>
      <c r="F464" s="55"/>
      <c r="K464" s="55"/>
      <c r="L464" s="55"/>
    </row>
    <row r="465">
      <c r="B465" s="28"/>
      <c r="C465" s="28"/>
      <c r="E465" s="55"/>
      <c r="F465" s="55"/>
      <c r="K465" s="55"/>
      <c r="L465" s="55"/>
    </row>
    <row r="466">
      <c r="B466" s="28"/>
      <c r="C466" s="28"/>
      <c r="E466" s="55"/>
      <c r="F466" s="55"/>
      <c r="K466" s="55"/>
      <c r="L466" s="55"/>
    </row>
    <row r="467">
      <c r="B467" s="28"/>
      <c r="C467" s="28"/>
      <c r="E467" s="55"/>
      <c r="F467" s="55"/>
      <c r="K467" s="55"/>
      <c r="L467" s="55"/>
    </row>
    <row r="468">
      <c r="B468" s="28"/>
      <c r="C468" s="28"/>
      <c r="E468" s="55"/>
      <c r="F468" s="55"/>
      <c r="K468" s="55"/>
      <c r="L468" s="55"/>
    </row>
    <row r="469">
      <c r="B469" s="28"/>
      <c r="C469" s="28"/>
      <c r="E469" s="55"/>
      <c r="F469" s="55"/>
      <c r="K469" s="55"/>
      <c r="L469" s="55"/>
    </row>
    <row r="470">
      <c r="B470" s="28"/>
      <c r="C470" s="28"/>
      <c r="E470" s="55"/>
      <c r="F470" s="55"/>
      <c r="K470" s="55"/>
      <c r="L470" s="55"/>
    </row>
    <row r="471">
      <c r="B471" s="28"/>
      <c r="C471" s="28"/>
      <c r="E471" s="55"/>
      <c r="F471" s="55"/>
      <c r="K471" s="55"/>
      <c r="L471" s="55"/>
    </row>
    <row r="472">
      <c r="B472" s="28"/>
      <c r="C472" s="28"/>
      <c r="E472" s="55"/>
      <c r="F472" s="55"/>
      <c r="K472" s="55"/>
      <c r="L472" s="55"/>
    </row>
    <row r="473">
      <c r="B473" s="28"/>
      <c r="C473" s="28"/>
      <c r="E473" s="55"/>
      <c r="F473" s="55"/>
      <c r="K473" s="55"/>
      <c r="L473" s="55"/>
    </row>
    <row r="474">
      <c r="B474" s="28"/>
      <c r="C474" s="28"/>
      <c r="E474" s="55"/>
      <c r="F474" s="55"/>
      <c r="K474" s="55"/>
      <c r="L474" s="55"/>
    </row>
    <row r="475">
      <c r="B475" s="28"/>
      <c r="C475" s="28"/>
      <c r="E475" s="55"/>
      <c r="F475" s="55"/>
      <c r="K475" s="55"/>
      <c r="L475" s="55"/>
    </row>
    <row r="476">
      <c r="B476" s="28"/>
      <c r="C476" s="28"/>
      <c r="E476" s="55"/>
      <c r="F476" s="55"/>
      <c r="K476" s="55"/>
      <c r="L476" s="55"/>
    </row>
    <row r="477">
      <c r="B477" s="28"/>
      <c r="C477" s="28"/>
      <c r="E477" s="55"/>
      <c r="F477" s="55"/>
      <c r="K477" s="55"/>
      <c r="L477" s="55"/>
    </row>
    <row r="478">
      <c r="B478" s="28"/>
      <c r="C478" s="28"/>
      <c r="E478" s="55"/>
      <c r="F478" s="55"/>
      <c r="K478" s="55"/>
      <c r="L478" s="55"/>
    </row>
    <row r="479">
      <c r="B479" s="28"/>
      <c r="C479" s="28"/>
      <c r="E479" s="55"/>
      <c r="F479" s="55"/>
      <c r="K479" s="55"/>
      <c r="L479" s="55"/>
    </row>
    <row r="480">
      <c r="B480" s="28"/>
      <c r="C480" s="28"/>
      <c r="E480" s="55"/>
      <c r="F480" s="55"/>
      <c r="K480" s="55"/>
      <c r="L480" s="55"/>
    </row>
    <row r="481">
      <c r="B481" s="28"/>
      <c r="C481" s="28"/>
      <c r="E481" s="55"/>
      <c r="F481" s="55"/>
      <c r="K481" s="55"/>
      <c r="L481" s="55"/>
    </row>
    <row r="482">
      <c r="B482" s="28"/>
      <c r="C482" s="28"/>
      <c r="E482" s="55"/>
      <c r="F482" s="55"/>
      <c r="K482" s="55"/>
      <c r="L482" s="55"/>
    </row>
    <row r="483">
      <c r="B483" s="28"/>
      <c r="C483" s="28"/>
      <c r="E483" s="55"/>
      <c r="F483" s="55"/>
      <c r="K483" s="55"/>
      <c r="L483" s="55"/>
    </row>
    <row r="484">
      <c r="B484" s="28"/>
      <c r="C484" s="28"/>
      <c r="E484" s="55"/>
      <c r="F484" s="55"/>
      <c r="K484" s="55"/>
      <c r="L484" s="55"/>
    </row>
    <row r="485">
      <c r="B485" s="28"/>
      <c r="C485" s="28"/>
      <c r="E485" s="55"/>
      <c r="F485" s="55"/>
      <c r="K485" s="55"/>
      <c r="L485" s="55"/>
    </row>
    <row r="486">
      <c r="B486" s="28"/>
      <c r="C486" s="28"/>
      <c r="E486" s="55"/>
      <c r="F486" s="55"/>
      <c r="K486" s="55"/>
      <c r="L486" s="55"/>
    </row>
    <row r="487">
      <c r="B487" s="28"/>
      <c r="C487" s="28"/>
      <c r="E487" s="55"/>
      <c r="F487" s="55"/>
      <c r="K487" s="55"/>
      <c r="L487" s="55"/>
    </row>
    <row r="488">
      <c r="B488" s="28"/>
      <c r="C488" s="28"/>
      <c r="E488" s="55"/>
      <c r="F488" s="55"/>
      <c r="K488" s="55"/>
      <c r="L488" s="55"/>
    </row>
    <row r="489">
      <c r="B489" s="28"/>
      <c r="C489" s="28"/>
      <c r="E489" s="55"/>
      <c r="F489" s="55"/>
      <c r="K489" s="55"/>
      <c r="L489" s="55"/>
    </row>
    <row r="490">
      <c r="B490" s="28"/>
      <c r="C490" s="28"/>
      <c r="E490" s="55"/>
      <c r="F490" s="55"/>
      <c r="K490" s="55"/>
      <c r="L490" s="55"/>
    </row>
    <row r="491">
      <c r="B491" s="28"/>
      <c r="C491" s="28"/>
      <c r="E491" s="55"/>
      <c r="F491" s="55"/>
      <c r="K491" s="55"/>
      <c r="L491" s="55"/>
    </row>
    <row r="492">
      <c r="B492" s="28"/>
      <c r="C492" s="28"/>
      <c r="E492" s="55"/>
      <c r="F492" s="55"/>
      <c r="K492" s="55"/>
      <c r="L492" s="55"/>
    </row>
    <row r="493">
      <c r="B493" s="28"/>
      <c r="C493" s="28"/>
      <c r="E493" s="55"/>
      <c r="F493" s="55"/>
      <c r="K493" s="55"/>
      <c r="L493" s="55"/>
    </row>
    <row r="494">
      <c r="B494" s="28"/>
      <c r="C494" s="28"/>
      <c r="E494" s="55"/>
      <c r="F494" s="55"/>
      <c r="K494" s="55"/>
      <c r="L494" s="55"/>
    </row>
    <row r="495">
      <c r="B495" s="28"/>
      <c r="C495" s="28"/>
      <c r="E495" s="55"/>
      <c r="F495" s="55"/>
      <c r="K495" s="55"/>
      <c r="L495" s="55"/>
    </row>
    <row r="496">
      <c r="B496" s="28"/>
      <c r="C496" s="28"/>
      <c r="E496" s="55"/>
      <c r="F496" s="55"/>
      <c r="K496" s="55"/>
      <c r="L496" s="55"/>
    </row>
    <row r="497">
      <c r="B497" s="28"/>
      <c r="C497" s="28"/>
      <c r="E497" s="55"/>
      <c r="F497" s="55"/>
      <c r="K497" s="55"/>
      <c r="L497" s="55"/>
    </row>
    <row r="498">
      <c r="B498" s="28"/>
      <c r="C498" s="28"/>
      <c r="E498" s="55"/>
      <c r="F498" s="55"/>
      <c r="K498" s="55"/>
      <c r="L498" s="55"/>
    </row>
    <row r="499">
      <c r="B499" s="28"/>
      <c r="C499" s="28"/>
      <c r="E499" s="55"/>
      <c r="F499" s="55"/>
      <c r="K499" s="55"/>
      <c r="L499" s="55"/>
    </row>
    <row r="500">
      <c r="B500" s="28"/>
      <c r="C500" s="28"/>
      <c r="E500" s="55"/>
      <c r="F500" s="55"/>
      <c r="K500" s="55"/>
      <c r="L500" s="55"/>
    </row>
    <row r="501">
      <c r="B501" s="28"/>
      <c r="C501" s="28"/>
      <c r="E501" s="55"/>
      <c r="F501" s="55"/>
      <c r="K501" s="55"/>
      <c r="L501" s="55"/>
    </row>
    <row r="502">
      <c r="B502" s="28"/>
      <c r="C502" s="28"/>
      <c r="E502" s="55"/>
      <c r="F502" s="55"/>
      <c r="K502" s="55"/>
      <c r="L502" s="55"/>
    </row>
    <row r="503">
      <c r="B503" s="28"/>
      <c r="C503" s="28"/>
      <c r="E503" s="55"/>
      <c r="F503" s="55"/>
      <c r="K503" s="55"/>
      <c r="L503" s="55"/>
    </row>
    <row r="504">
      <c r="B504" s="28"/>
      <c r="C504" s="28"/>
      <c r="E504" s="55"/>
      <c r="F504" s="55"/>
      <c r="K504" s="55"/>
      <c r="L504" s="55"/>
    </row>
    <row r="505">
      <c r="B505" s="28"/>
      <c r="C505" s="28"/>
      <c r="E505" s="55"/>
      <c r="F505" s="55"/>
      <c r="K505" s="55"/>
      <c r="L505" s="55"/>
    </row>
    <row r="506">
      <c r="B506" s="28"/>
      <c r="C506" s="28"/>
      <c r="E506" s="55"/>
      <c r="F506" s="55"/>
      <c r="K506" s="55"/>
      <c r="L506" s="55"/>
    </row>
    <row r="507">
      <c r="B507" s="28"/>
      <c r="C507" s="28"/>
      <c r="E507" s="55"/>
      <c r="F507" s="55"/>
      <c r="K507" s="55"/>
      <c r="L507" s="55"/>
    </row>
    <row r="508">
      <c r="B508" s="28"/>
      <c r="C508" s="28"/>
      <c r="E508" s="55"/>
      <c r="F508" s="55"/>
      <c r="K508" s="55"/>
      <c r="L508" s="55"/>
    </row>
    <row r="509">
      <c r="B509" s="28"/>
      <c r="C509" s="28"/>
      <c r="E509" s="55"/>
      <c r="F509" s="55"/>
      <c r="K509" s="55"/>
      <c r="L509" s="55"/>
    </row>
    <row r="510">
      <c r="B510" s="28"/>
      <c r="C510" s="28"/>
      <c r="E510" s="55"/>
      <c r="F510" s="55"/>
      <c r="K510" s="55"/>
      <c r="L510" s="55"/>
    </row>
    <row r="511">
      <c r="B511" s="28"/>
      <c r="C511" s="28"/>
      <c r="E511" s="55"/>
      <c r="F511" s="55"/>
      <c r="K511" s="55"/>
      <c r="L511" s="55"/>
    </row>
    <row r="512">
      <c r="B512" s="28"/>
      <c r="C512" s="28"/>
      <c r="E512" s="55"/>
      <c r="F512" s="55"/>
      <c r="K512" s="55"/>
      <c r="L512" s="55"/>
    </row>
    <row r="513">
      <c r="B513" s="28"/>
      <c r="C513" s="28"/>
      <c r="E513" s="55"/>
      <c r="F513" s="55"/>
      <c r="K513" s="55"/>
      <c r="L513" s="55"/>
    </row>
    <row r="514">
      <c r="B514" s="28"/>
      <c r="C514" s="28"/>
      <c r="E514" s="55"/>
      <c r="F514" s="55"/>
      <c r="K514" s="55"/>
      <c r="L514" s="55"/>
    </row>
    <row r="515">
      <c r="B515" s="28"/>
      <c r="C515" s="28"/>
      <c r="E515" s="55"/>
      <c r="F515" s="55"/>
      <c r="K515" s="55"/>
      <c r="L515" s="55"/>
    </row>
    <row r="516">
      <c r="B516" s="28"/>
      <c r="C516" s="28"/>
      <c r="E516" s="55"/>
      <c r="F516" s="55"/>
      <c r="K516" s="55"/>
      <c r="L516" s="55"/>
    </row>
    <row r="517">
      <c r="B517" s="28"/>
      <c r="C517" s="28"/>
      <c r="E517" s="55"/>
      <c r="F517" s="55"/>
      <c r="K517" s="55"/>
      <c r="L517" s="55"/>
    </row>
    <row r="518">
      <c r="B518" s="28"/>
      <c r="C518" s="28"/>
      <c r="E518" s="55"/>
      <c r="F518" s="55"/>
      <c r="K518" s="55"/>
      <c r="L518" s="55"/>
    </row>
    <row r="519">
      <c r="B519" s="28"/>
      <c r="C519" s="28"/>
      <c r="E519" s="55"/>
      <c r="F519" s="55"/>
      <c r="K519" s="55"/>
      <c r="L519" s="55"/>
    </row>
    <row r="520">
      <c r="B520" s="28"/>
      <c r="C520" s="28"/>
      <c r="E520" s="55"/>
      <c r="F520" s="55"/>
      <c r="K520" s="55"/>
      <c r="L520" s="55"/>
    </row>
    <row r="521">
      <c r="B521" s="28"/>
      <c r="C521" s="28"/>
      <c r="E521" s="55"/>
      <c r="F521" s="55"/>
      <c r="K521" s="55"/>
      <c r="L521" s="55"/>
    </row>
    <row r="522">
      <c r="B522" s="28"/>
      <c r="C522" s="28"/>
      <c r="E522" s="55"/>
      <c r="F522" s="55"/>
      <c r="K522" s="55"/>
      <c r="L522" s="55"/>
    </row>
    <row r="523">
      <c r="B523" s="28"/>
      <c r="C523" s="28"/>
      <c r="E523" s="55"/>
      <c r="F523" s="55"/>
      <c r="K523" s="55"/>
      <c r="L523" s="55"/>
    </row>
    <row r="524">
      <c r="B524" s="28"/>
      <c r="C524" s="28"/>
      <c r="E524" s="55"/>
      <c r="F524" s="55"/>
      <c r="K524" s="55"/>
      <c r="L524" s="55"/>
    </row>
    <row r="525">
      <c r="B525" s="28"/>
      <c r="C525" s="28"/>
      <c r="E525" s="55"/>
      <c r="F525" s="55"/>
      <c r="K525" s="55"/>
      <c r="L525" s="55"/>
    </row>
    <row r="526">
      <c r="B526" s="28"/>
      <c r="C526" s="28"/>
      <c r="E526" s="55"/>
      <c r="F526" s="55"/>
      <c r="K526" s="55"/>
      <c r="L526" s="55"/>
    </row>
    <row r="527">
      <c r="B527" s="28"/>
      <c r="C527" s="28"/>
      <c r="E527" s="55"/>
      <c r="F527" s="55"/>
      <c r="K527" s="55"/>
      <c r="L527" s="55"/>
    </row>
    <row r="528">
      <c r="B528" s="28"/>
      <c r="C528" s="28"/>
      <c r="E528" s="55"/>
      <c r="F528" s="55"/>
      <c r="K528" s="55"/>
      <c r="L528" s="55"/>
    </row>
    <row r="529">
      <c r="B529" s="28"/>
      <c r="C529" s="28"/>
      <c r="E529" s="55"/>
      <c r="F529" s="55"/>
      <c r="K529" s="55"/>
      <c r="L529" s="55"/>
    </row>
    <row r="530">
      <c r="B530" s="28"/>
      <c r="C530" s="28"/>
      <c r="E530" s="55"/>
      <c r="F530" s="55"/>
      <c r="K530" s="55"/>
      <c r="L530" s="55"/>
    </row>
    <row r="531">
      <c r="B531" s="28"/>
      <c r="C531" s="28"/>
      <c r="E531" s="55"/>
      <c r="F531" s="55"/>
      <c r="K531" s="55"/>
      <c r="L531" s="55"/>
    </row>
    <row r="532">
      <c r="B532" s="28"/>
      <c r="C532" s="28"/>
      <c r="E532" s="55"/>
      <c r="F532" s="55"/>
      <c r="K532" s="55"/>
      <c r="L532" s="55"/>
    </row>
    <row r="533">
      <c r="B533" s="28"/>
      <c r="C533" s="28"/>
      <c r="E533" s="55"/>
      <c r="F533" s="55"/>
      <c r="K533" s="55"/>
      <c r="L533" s="55"/>
    </row>
    <row r="534">
      <c r="B534" s="28"/>
      <c r="C534" s="28"/>
      <c r="E534" s="55"/>
      <c r="F534" s="55"/>
      <c r="K534" s="55"/>
      <c r="L534" s="55"/>
    </row>
    <row r="535">
      <c r="B535" s="28"/>
      <c r="C535" s="28"/>
      <c r="E535" s="55"/>
      <c r="F535" s="55"/>
      <c r="K535" s="55"/>
      <c r="L535" s="55"/>
    </row>
    <row r="536">
      <c r="B536" s="28"/>
      <c r="C536" s="28"/>
      <c r="E536" s="55"/>
      <c r="F536" s="55"/>
      <c r="K536" s="55"/>
      <c r="L536" s="55"/>
    </row>
    <row r="537">
      <c r="B537" s="28"/>
      <c r="C537" s="28"/>
      <c r="E537" s="55"/>
      <c r="F537" s="55"/>
      <c r="K537" s="55"/>
      <c r="L537" s="55"/>
    </row>
    <row r="538">
      <c r="B538" s="28"/>
      <c r="C538" s="28"/>
      <c r="E538" s="55"/>
      <c r="F538" s="55"/>
      <c r="K538" s="55"/>
      <c r="L538" s="55"/>
    </row>
    <row r="539">
      <c r="B539" s="28"/>
      <c r="C539" s="28"/>
      <c r="E539" s="55"/>
      <c r="F539" s="55"/>
      <c r="K539" s="55"/>
      <c r="L539" s="55"/>
    </row>
    <row r="540">
      <c r="B540" s="28"/>
      <c r="C540" s="28"/>
      <c r="E540" s="55"/>
      <c r="F540" s="55"/>
      <c r="K540" s="55"/>
      <c r="L540" s="55"/>
    </row>
    <row r="541">
      <c r="B541" s="28"/>
      <c r="C541" s="28"/>
      <c r="E541" s="55"/>
      <c r="F541" s="55"/>
      <c r="K541" s="55"/>
      <c r="L541" s="55"/>
    </row>
    <row r="542">
      <c r="B542" s="28"/>
      <c r="C542" s="28"/>
      <c r="E542" s="55"/>
      <c r="F542" s="55"/>
      <c r="K542" s="55"/>
      <c r="L542" s="55"/>
    </row>
    <row r="543">
      <c r="B543" s="28"/>
      <c r="C543" s="28"/>
      <c r="E543" s="55"/>
      <c r="F543" s="55"/>
      <c r="K543" s="55"/>
      <c r="L543" s="55"/>
    </row>
    <row r="544">
      <c r="B544" s="28"/>
      <c r="C544" s="28"/>
      <c r="E544" s="55"/>
      <c r="F544" s="55"/>
      <c r="K544" s="55"/>
      <c r="L544" s="55"/>
    </row>
    <row r="545">
      <c r="B545" s="28"/>
      <c r="C545" s="28"/>
      <c r="E545" s="55"/>
      <c r="F545" s="55"/>
      <c r="K545" s="55"/>
      <c r="L545" s="55"/>
    </row>
    <row r="546">
      <c r="B546" s="28"/>
      <c r="C546" s="28"/>
      <c r="E546" s="55"/>
      <c r="F546" s="55"/>
      <c r="K546" s="55"/>
      <c r="L546" s="55"/>
    </row>
    <row r="547">
      <c r="B547" s="28"/>
      <c r="C547" s="28"/>
      <c r="E547" s="55"/>
      <c r="F547" s="55"/>
      <c r="K547" s="55"/>
      <c r="L547" s="55"/>
    </row>
    <row r="548">
      <c r="B548" s="28"/>
      <c r="C548" s="28"/>
      <c r="E548" s="55"/>
      <c r="F548" s="55"/>
      <c r="K548" s="55"/>
      <c r="L548" s="55"/>
    </row>
    <row r="549">
      <c r="B549" s="28"/>
      <c r="C549" s="28"/>
      <c r="E549" s="55"/>
      <c r="F549" s="55"/>
      <c r="K549" s="55"/>
      <c r="L549" s="55"/>
    </row>
    <row r="550">
      <c r="B550" s="28"/>
      <c r="C550" s="28"/>
      <c r="E550" s="55"/>
      <c r="F550" s="55"/>
      <c r="K550" s="55"/>
      <c r="L550" s="55"/>
    </row>
    <row r="551">
      <c r="B551" s="28"/>
      <c r="C551" s="28"/>
      <c r="E551" s="55"/>
      <c r="F551" s="55"/>
      <c r="K551" s="55"/>
      <c r="L551" s="55"/>
    </row>
    <row r="552">
      <c r="B552" s="28"/>
      <c r="C552" s="28"/>
      <c r="E552" s="55"/>
      <c r="F552" s="55"/>
      <c r="K552" s="55"/>
      <c r="L552" s="55"/>
    </row>
    <row r="553">
      <c r="B553" s="28"/>
      <c r="C553" s="28"/>
      <c r="E553" s="55"/>
      <c r="F553" s="55"/>
      <c r="K553" s="55"/>
      <c r="L553" s="55"/>
    </row>
    <row r="554">
      <c r="B554" s="28"/>
      <c r="C554" s="28"/>
      <c r="E554" s="55"/>
      <c r="F554" s="55"/>
      <c r="K554" s="55"/>
      <c r="L554" s="55"/>
    </row>
    <row r="555">
      <c r="B555" s="28"/>
      <c r="C555" s="28"/>
      <c r="E555" s="55"/>
      <c r="F555" s="55"/>
      <c r="K555" s="55"/>
      <c r="L555" s="55"/>
    </row>
    <row r="556">
      <c r="B556" s="28"/>
      <c r="C556" s="28"/>
      <c r="E556" s="55"/>
      <c r="F556" s="55"/>
      <c r="K556" s="55"/>
      <c r="L556" s="55"/>
    </row>
    <row r="557">
      <c r="B557" s="28"/>
      <c r="C557" s="28"/>
      <c r="E557" s="55"/>
      <c r="F557" s="55"/>
      <c r="K557" s="55"/>
      <c r="L557" s="55"/>
    </row>
    <row r="558">
      <c r="B558" s="28"/>
      <c r="C558" s="28"/>
      <c r="E558" s="55"/>
      <c r="F558" s="55"/>
      <c r="K558" s="55"/>
      <c r="L558" s="55"/>
    </row>
    <row r="559">
      <c r="B559" s="28"/>
      <c r="C559" s="28"/>
      <c r="E559" s="55"/>
      <c r="F559" s="55"/>
      <c r="K559" s="55"/>
      <c r="L559" s="55"/>
    </row>
    <row r="560">
      <c r="B560" s="28"/>
      <c r="C560" s="28"/>
      <c r="E560" s="55"/>
      <c r="F560" s="55"/>
      <c r="K560" s="55"/>
      <c r="L560" s="55"/>
    </row>
    <row r="561">
      <c r="B561" s="28"/>
      <c r="C561" s="28"/>
      <c r="E561" s="55"/>
      <c r="F561" s="55"/>
      <c r="K561" s="55"/>
      <c r="L561" s="55"/>
    </row>
    <row r="562">
      <c r="B562" s="28"/>
      <c r="C562" s="28"/>
      <c r="E562" s="55"/>
      <c r="F562" s="55"/>
      <c r="K562" s="55"/>
      <c r="L562" s="55"/>
    </row>
    <row r="563">
      <c r="B563" s="28"/>
      <c r="C563" s="28"/>
      <c r="E563" s="55"/>
      <c r="F563" s="55"/>
      <c r="K563" s="55"/>
      <c r="L563" s="55"/>
    </row>
    <row r="564">
      <c r="B564" s="28"/>
      <c r="C564" s="28"/>
      <c r="E564" s="55"/>
      <c r="F564" s="55"/>
      <c r="K564" s="55"/>
      <c r="L564" s="55"/>
    </row>
    <row r="565">
      <c r="B565" s="28"/>
      <c r="C565" s="28"/>
      <c r="E565" s="55"/>
      <c r="F565" s="55"/>
      <c r="K565" s="55"/>
      <c r="L565" s="55"/>
    </row>
    <row r="566">
      <c r="B566" s="28"/>
      <c r="C566" s="28"/>
      <c r="E566" s="55"/>
      <c r="F566" s="55"/>
      <c r="K566" s="55"/>
      <c r="L566" s="55"/>
    </row>
    <row r="567">
      <c r="B567" s="28"/>
      <c r="C567" s="28"/>
      <c r="E567" s="55"/>
      <c r="F567" s="55"/>
      <c r="K567" s="55"/>
      <c r="L567" s="55"/>
    </row>
    <row r="568">
      <c r="B568" s="28"/>
      <c r="C568" s="28"/>
      <c r="E568" s="55"/>
      <c r="F568" s="55"/>
      <c r="K568" s="55"/>
      <c r="L568" s="55"/>
    </row>
    <row r="569">
      <c r="B569" s="28"/>
      <c r="C569" s="28"/>
      <c r="E569" s="55"/>
      <c r="F569" s="55"/>
      <c r="K569" s="55"/>
      <c r="L569" s="55"/>
    </row>
    <row r="570">
      <c r="B570" s="28"/>
      <c r="C570" s="28"/>
      <c r="E570" s="55"/>
      <c r="F570" s="55"/>
      <c r="K570" s="55"/>
      <c r="L570" s="55"/>
    </row>
    <row r="571">
      <c r="B571" s="28"/>
      <c r="C571" s="28"/>
      <c r="E571" s="55"/>
      <c r="F571" s="55"/>
      <c r="K571" s="55"/>
      <c r="L571" s="55"/>
    </row>
    <row r="572">
      <c r="B572" s="28"/>
      <c r="C572" s="28"/>
      <c r="E572" s="55"/>
      <c r="F572" s="55"/>
      <c r="K572" s="55"/>
      <c r="L572" s="55"/>
    </row>
    <row r="573">
      <c r="B573" s="28"/>
      <c r="C573" s="28"/>
      <c r="E573" s="55"/>
      <c r="F573" s="55"/>
      <c r="K573" s="55"/>
      <c r="L573" s="55"/>
    </row>
    <row r="574">
      <c r="B574" s="28"/>
      <c r="C574" s="28"/>
      <c r="E574" s="55"/>
      <c r="F574" s="55"/>
      <c r="K574" s="55"/>
      <c r="L574" s="55"/>
    </row>
    <row r="575">
      <c r="B575" s="28"/>
      <c r="C575" s="28"/>
      <c r="E575" s="55"/>
      <c r="F575" s="55"/>
      <c r="K575" s="55"/>
      <c r="L575" s="55"/>
    </row>
    <row r="576">
      <c r="B576" s="28"/>
      <c r="C576" s="28"/>
      <c r="E576" s="55"/>
      <c r="F576" s="55"/>
      <c r="K576" s="55"/>
      <c r="L576" s="55"/>
    </row>
    <row r="577">
      <c r="B577" s="28"/>
      <c r="C577" s="28"/>
      <c r="E577" s="55"/>
      <c r="F577" s="55"/>
      <c r="K577" s="55"/>
      <c r="L577" s="55"/>
    </row>
    <row r="578">
      <c r="B578" s="28"/>
      <c r="C578" s="28"/>
      <c r="E578" s="55"/>
      <c r="F578" s="55"/>
      <c r="K578" s="55"/>
      <c r="L578" s="55"/>
    </row>
    <row r="579">
      <c r="B579" s="28"/>
      <c r="C579" s="28"/>
      <c r="E579" s="55"/>
      <c r="F579" s="55"/>
      <c r="K579" s="55"/>
      <c r="L579" s="55"/>
    </row>
    <row r="580">
      <c r="B580" s="28"/>
      <c r="C580" s="28"/>
      <c r="E580" s="55"/>
      <c r="F580" s="55"/>
      <c r="K580" s="55"/>
      <c r="L580" s="55"/>
    </row>
    <row r="581">
      <c r="B581" s="28"/>
      <c r="C581" s="28"/>
      <c r="E581" s="55"/>
      <c r="F581" s="55"/>
      <c r="K581" s="55"/>
      <c r="L581" s="55"/>
    </row>
    <row r="582">
      <c r="B582" s="28"/>
      <c r="C582" s="28"/>
      <c r="E582" s="55"/>
      <c r="F582" s="55"/>
      <c r="K582" s="55"/>
      <c r="L582" s="55"/>
    </row>
    <row r="583">
      <c r="B583" s="28"/>
      <c r="C583" s="28"/>
      <c r="E583" s="55"/>
      <c r="F583" s="55"/>
      <c r="K583" s="55"/>
      <c r="L583" s="55"/>
    </row>
    <row r="584">
      <c r="B584" s="28"/>
      <c r="C584" s="28"/>
      <c r="E584" s="55"/>
      <c r="F584" s="55"/>
      <c r="K584" s="55"/>
      <c r="L584" s="55"/>
    </row>
    <row r="585">
      <c r="B585" s="28"/>
      <c r="C585" s="28"/>
      <c r="E585" s="55"/>
      <c r="F585" s="55"/>
      <c r="K585" s="55"/>
      <c r="L585" s="55"/>
    </row>
    <row r="586">
      <c r="B586" s="28"/>
      <c r="C586" s="28"/>
      <c r="E586" s="55"/>
      <c r="F586" s="55"/>
      <c r="K586" s="55"/>
      <c r="L586" s="55"/>
    </row>
    <row r="587">
      <c r="B587" s="28"/>
      <c r="C587" s="28"/>
      <c r="E587" s="55"/>
      <c r="F587" s="55"/>
      <c r="K587" s="55"/>
      <c r="L587" s="55"/>
    </row>
    <row r="588">
      <c r="B588" s="28"/>
      <c r="C588" s="28"/>
      <c r="E588" s="55"/>
      <c r="F588" s="55"/>
      <c r="K588" s="55"/>
      <c r="L588" s="55"/>
    </row>
    <row r="589">
      <c r="B589" s="28"/>
      <c r="C589" s="28"/>
      <c r="E589" s="55"/>
      <c r="F589" s="55"/>
      <c r="K589" s="55"/>
      <c r="L589" s="55"/>
    </row>
    <row r="590">
      <c r="B590" s="28"/>
      <c r="C590" s="28"/>
      <c r="E590" s="55"/>
      <c r="F590" s="55"/>
      <c r="K590" s="55"/>
      <c r="L590" s="55"/>
    </row>
    <row r="591">
      <c r="B591" s="28"/>
      <c r="C591" s="28"/>
      <c r="E591" s="55"/>
      <c r="F591" s="55"/>
      <c r="K591" s="55"/>
      <c r="L591" s="55"/>
    </row>
    <row r="592">
      <c r="B592" s="28"/>
      <c r="C592" s="28"/>
      <c r="E592" s="55"/>
      <c r="F592" s="55"/>
      <c r="K592" s="55"/>
      <c r="L592" s="55"/>
    </row>
    <row r="593">
      <c r="B593" s="28"/>
      <c r="C593" s="28"/>
      <c r="E593" s="55"/>
      <c r="F593" s="55"/>
      <c r="K593" s="55"/>
      <c r="L593" s="55"/>
    </row>
    <row r="594">
      <c r="B594" s="28"/>
      <c r="C594" s="28"/>
      <c r="E594" s="55"/>
      <c r="F594" s="55"/>
      <c r="K594" s="55"/>
      <c r="L594" s="55"/>
    </row>
    <row r="595">
      <c r="B595" s="28"/>
      <c r="C595" s="28"/>
      <c r="E595" s="55"/>
      <c r="F595" s="55"/>
      <c r="K595" s="55"/>
      <c r="L595" s="55"/>
    </row>
    <row r="596">
      <c r="B596" s="28"/>
      <c r="C596" s="28"/>
      <c r="E596" s="55"/>
      <c r="F596" s="55"/>
      <c r="K596" s="55"/>
      <c r="L596" s="55"/>
    </row>
    <row r="597">
      <c r="B597" s="28"/>
      <c r="C597" s="28"/>
      <c r="E597" s="55"/>
      <c r="F597" s="55"/>
      <c r="K597" s="55"/>
      <c r="L597" s="55"/>
    </row>
    <row r="598">
      <c r="B598" s="28"/>
      <c r="C598" s="28"/>
      <c r="E598" s="55"/>
      <c r="F598" s="55"/>
      <c r="K598" s="55"/>
      <c r="L598" s="55"/>
    </row>
    <row r="599">
      <c r="B599" s="28"/>
      <c r="C599" s="28"/>
      <c r="E599" s="55"/>
      <c r="F599" s="55"/>
      <c r="K599" s="55"/>
      <c r="L599" s="55"/>
    </row>
    <row r="600">
      <c r="B600" s="28"/>
      <c r="C600" s="28"/>
      <c r="E600" s="55"/>
      <c r="F600" s="55"/>
      <c r="K600" s="55"/>
      <c r="L600" s="55"/>
    </row>
    <row r="601">
      <c r="B601" s="28"/>
      <c r="C601" s="28"/>
      <c r="E601" s="55"/>
      <c r="F601" s="55"/>
      <c r="K601" s="55"/>
      <c r="L601" s="55"/>
    </row>
    <row r="602">
      <c r="B602" s="28"/>
      <c r="C602" s="28"/>
      <c r="E602" s="55"/>
      <c r="F602" s="55"/>
      <c r="K602" s="55"/>
      <c r="L602" s="55"/>
    </row>
    <row r="603">
      <c r="B603" s="28"/>
      <c r="C603" s="28"/>
      <c r="E603" s="55"/>
      <c r="F603" s="55"/>
      <c r="K603" s="55"/>
      <c r="L603" s="55"/>
    </row>
    <row r="604">
      <c r="B604" s="28"/>
      <c r="C604" s="28"/>
      <c r="E604" s="55"/>
      <c r="F604" s="55"/>
      <c r="K604" s="55"/>
      <c r="L604" s="55"/>
    </row>
    <row r="605">
      <c r="B605" s="28"/>
      <c r="C605" s="28"/>
      <c r="E605" s="55"/>
      <c r="F605" s="55"/>
      <c r="K605" s="55"/>
      <c r="L605" s="55"/>
    </row>
    <row r="606">
      <c r="B606" s="28"/>
      <c r="C606" s="28"/>
      <c r="E606" s="55"/>
      <c r="F606" s="55"/>
      <c r="K606" s="55"/>
      <c r="L606" s="55"/>
    </row>
    <row r="607">
      <c r="B607" s="28"/>
      <c r="C607" s="28"/>
      <c r="E607" s="55"/>
      <c r="F607" s="55"/>
      <c r="K607" s="55"/>
      <c r="L607" s="55"/>
    </row>
    <row r="608">
      <c r="B608" s="28"/>
      <c r="C608" s="28"/>
      <c r="E608" s="55"/>
      <c r="F608" s="55"/>
      <c r="K608" s="55"/>
      <c r="L608" s="55"/>
    </row>
    <row r="609">
      <c r="B609" s="28"/>
      <c r="C609" s="28"/>
      <c r="E609" s="55"/>
      <c r="F609" s="55"/>
      <c r="K609" s="55"/>
      <c r="L609" s="55"/>
    </row>
    <row r="610">
      <c r="B610" s="28"/>
      <c r="C610" s="28"/>
      <c r="E610" s="55"/>
      <c r="F610" s="55"/>
      <c r="K610" s="55"/>
      <c r="L610" s="55"/>
    </row>
    <row r="611">
      <c r="B611" s="28"/>
      <c r="C611" s="28"/>
      <c r="E611" s="55"/>
      <c r="F611" s="55"/>
      <c r="K611" s="55"/>
      <c r="L611" s="55"/>
    </row>
    <row r="612">
      <c r="B612" s="28"/>
      <c r="C612" s="28"/>
      <c r="E612" s="55"/>
      <c r="F612" s="55"/>
      <c r="K612" s="55"/>
      <c r="L612" s="55"/>
    </row>
    <row r="613">
      <c r="B613" s="28"/>
      <c r="C613" s="28"/>
      <c r="E613" s="55"/>
      <c r="F613" s="55"/>
      <c r="K613" s="55"/>
      <c r="L613" s="55"/>
    </row>
    <row r="614">
      <c r="B614" s="28"/>
      <c r="C614" s="28"/>
      <c r="E614" s="55"/>
      <c r="F614" s="55"/>
      <c r="K614" s="55"/>
      <c r="L614" s="55"/>
    </row>
    <row r="615">
      <c r="B615" s="28"/>
      <c r="C615" s="28"/>
      <c r="E615" s="55"/>
      <c r="F615" s="55"/>
      <c r="K615" s="55"/>
      <c r="L615" s="55"/>
    </row>
    <row r="616">
      <c r="B616" s="28"/>
      <c r="C616" s="28"/>
      <c r="E616" s="55"/>
      <c r="F616" s="55"/>
      <c r="K616" s="55"/>
      <c r="L616" s="55"/>
    </row>
    <row r="617">
      <c r="B617" s="28"/>
      <c r="C617" s="28"/>
      <c r="E617" s="55"/>
      <c r="F617" s="55"/>
      <c r="K617" s="55"/>
      <c r="L617" s="55"/>
    </row>
    <row r="618">
      <c r="B618" s="28"/>
      <c r="C618" s="28"/>
      <c r="E618" s="55"/>
      <c r="F618" s="55"/>
      <c r="K618" s="55"/>
      <c r="L618" s="55"/>
    </row>
    <row r="619">
      <c r="B619" s="28"/>
      <c r="C619" s="28"/>
      <c r="E619" s="55"/>
      <c r="F619" s="55"/>
      <c r="K619" s="55"/>
      <c r="L619" s="55"/>
    </row>
    <row r="620">
      <c r="B620" s="28"/>
      <c r="C620" s="28"/>
      <c r="E620" s="55"/>
      <c r="F620" s="55"/>
      <c r="K620" s="55"/>
      <c r="L620" s="55"/>
    </row>
    <row r="621">
      <c r="B621" s="28"/>
      <c r="C621" s="28"/>
      <c r="E621" s="55"/>
      <c r="F621" s="55"/>
      <c r="K621" s="55"/>
      <c r="L621" s="55"/>
    </row>
    <row r="622">
      <c r="B622" s="28"/>
      <c r="C622" s="28"/>
      <c r="E622" s="55"/>
      <c r="F622" s="55"/>
      <c r="K622" s="55"/>
      <c r="L622" s="55"/>
    </row>
    <row r="623">
      <c r="B623" s="28"/>
      <c r="C623" s="28"/>
      <c r="E623" s="55"/>
      <c r="F623" s="55"/>
      <c r="K623" s="55"/>
      <c r="L623" s="55"/>
    </row>
    <row r="624">
      <c r="B624" s="28"/>
      <c r="C624" s="28"/>
      <c r="E624" s="55"/>
      <c r="F624" s="55"/>
      <c r="K624" s="55"/>
      <c r="L624" s="55"/>
    </row>
    <row r="625">
      <c r="B625" s="28"/>
      <c r="C625" s="28"/>
      <c r="E625" s="55"/>
      <c r="F625" s="55"/>
      <c r="K625" s="55"/>
      <c r="L625" s="55"/>
    </row>
    <row r="626">
      <c r="B626" s="28"/>
      <c r="C626" s="28"/>
      <c r="E626" s="55"/>
      <c r="F626" s="55"/>
      <c r="K626" s="55"/>
      <c r="L626" s="55"/>
    </row>
    <row r="627">
      <c r="B627" s="28"/>
      <c r="C627" s="28"/>
      <c r="E627" s="55"/>
      <c r="F627" s="55"/>
      <c r="K627" s="55"/>
      <c r="L627" s="55"/>
    </row>
    <row r="628">
      <c r="B628" s="28"/>
      <c r="C628" s="28"/>
      <c r="E628" s="55"/>
      <c r="F628" s="55"/>
      <c r="K628" s="55"/>
      <c r="L628" s="55"/>
    </row>
    <row r="629">
      <c r="B629" s="28"/>
      <c r="C629" s="28"/>
      <c r="E629" s="55"/>
      <c r="F629" s="55"/>
      <c r="K629" s="55"/>
      <c r="L629" s="55"/>
    </row>
    <row r="630">
      <c r="B630" s="28"/>
      <c r="C630" s="28"/>
      <c r="E630" s="55"/>
      <c r="F630" s="55"/>
      <c r="K630" s="55"/>
      <c r="L630" s="55"/>
    </row>
    <row r="631">
      <c r="B631" s="28"/>
      <c r="C631" s="28"/>
      <c r="E631" s="55"/>
      <c r="F631" s="55"/>
      <c r="K631" s="55"/>
      <c r="L631" s="55"/>
    </row>
    <row r="632">
      <c r="B632" s="28"/>
      <c r="C632" s="28"/>
      <c r="E632" s="55"/>
      <c r="F632" s="55"/>
      <c r="K632" s="55"/>
      <c r="L632" s="55"/>
    </row>
    <row r="633">
      <c r="B633" s="28"/>
      <c r="C633" s="28"/>
      <c r="E633" s="55"/>
      <c r="F633" s="55"/>
      <c r="K633" s="55"/>
      <c r="L633" s="55"/>
    </row>
    <row r="634">
      <c r="B634" s="28"/>
      <c r="C634" s="28"/>
      <c r="E634" s="55"/>
      <c r="F634" s="55"/>
      <c r="K634" s="55"/>
      <c r="L634" s="55"/>
    </row>
    <row r="635">
      <c r="B635" s="28"/>
      <c r="C635" s="28"/>
      <c r="E635" s="55"/>
      <c r="F635" s="55"/>
      <c r="K635" s="55"/>
      <c r="L635" s="55"/>
    </row>
    <row r="636">
      <c r="B636" s="28"/>
      <c r="C636" s="28"/>
      <c r="E636" s="55"/>
      <c r="F636" s="55"/>
      <c r="K636" s="55"/>
      <c r="L636" s="55"/>
    </row>
    <row r="637">
      <c r="B637" s="28"/>
      <c r="C637" s="28"/>
      <c r="E637" s="55"/>
      <c r="F637" s="55"/>
      <c r="K637" s="55"/>
      <c r="L637" s="55"/>
    </row>
    <row r="638">
      <c r="B638" s="28"/>
      <c r="C638" s="28"/>
      <c r="E638" s="55"/>
      <c r="F638" s="55"/>
      <c r="K638" s="55"/>
      <c r="L638" s="55"/>
    </row>
    <row r="639">
      <c r="B639" s="28"/>
      <c r="C639" s="28"/>
      <c r="E639" s="55"/>
      <c r="F639" s="55"/>
      <c r="K639" s="55"/>
      <c r="L639" s="55"/>
    </row>
    <row r="640">
      <c r="B640" s="28"/>
      <c r="C640" s="28"/>
      <c r="E640" s="55"/>
      <c r="F640" s="55"/>
      <c r="K640" s="55"/>
      <c r="L640" s="55"/>
    </row>
    <row r="641">
      <c r="B641" s="28"/>
      <c r="C641" s="28"/>
      <c r="E641" s="55"/>
      <c r="F641" s="55"/>
      <c r="K641" s="55"/>
      <c r="L641" s="55"/>
    </row>
    <row r="642">
      <c r="B642" s="28"/>
      <c r="C642" s="28"/>
      <c r="E642" s="55"/>
      <c r="F642" s="55"/>
      <c r="K642" s="55"/>
      <c r="L642" s="55"/>
    </row>
    <row r="643">
      <c r="B643" s="28"/>
      <c r="C643" s="28"/>
      <c r="E643" s="55"/>
      <c r="F643" s="55"/>
      <c r="K643" s="55"/>
      <c r="L643" s="55"/>
    </row>
    <row r="644">
      <c r="B644" s="28"/>
      <c r="C644" s="28"/>
      <c r="E644" s="55"/>
      <c r="F644" s="55"/>
      <c r="K644" s="55"/>
      <c r="L644" s="55"/>
    </row>
    <row r="645">
      <c r="B645" s="28"/>
      <c r="C645" s="28"/>
      <c r="E645" s="55"/>
      <c r="F645" s="55"/>
      <c r="K645" s="55"/>
      <c r="L645" s="55"/>
    </row>
    <row r="646">
      <c r="B646" s="28"/>
      <c r="C646" s="28"/>
      <c r="E646" s="55"/>
      <c r="F646" s="55"/>
      <c r="K646" s="55"/>
      <c r="L646" s="55"/>
    </row>
    <row r="647">
      <c r="B647" s="28"/>
      <c r="C647" s="28"/>
      <c r="E647" s="55"/>
      <c r="F647" s="55"/>
      <c r="K647" s="55"/>
      <c r="L647" s="55"/>
    </row>
    <row r="648">
      <c r="B648" s="28"/>
      <c r="C648" s="28"/>
      <c r="E648" s="55"/>
      <c r="F648" s="55"/>
      <c r="K648" s="55"/>
      <c r="L648" s="55"/>
    </row>
    <row r="649">
      <c r="B649" s="28"/>
      <c r="C649" s="28"/>
      <c r="E649" s="55"/>
      <c r="F649" s="55"/>
      <c r="K649" s="55"/>
      <c r="L649" s="55"/>
    </row>
    <row r="650">
      <c r="B650" s="28"/>
      <c r="C650" s="28"/>
      <c r="E650" s="55"/>
      <c r="F650" s="55"/>
      <c r="K650" s="55"/>
      <c r="L650" s="55"/>
    </row>
    <row r="651">
      <c r="B651" s="28"/>
      <c r="C651" s="28"/>
      <c r="E651" s="55"/>
      <c r="F651" s="55"/>
      <c r="K651" s="55"/>
      <c r="L651" s="55"/>
    </row>
    <row r="652">
      <c r="B652" s="28"/>
      <c r="C652" s="28"/>
      <c r="E652" s="55"/>
      <c r="F652" s="55"/>
      <c r="K652" s="55"/>
      <c r="L652" s="55"/>
    </row>
    <row r="653">
      <c r="B653" s="28"/>
      <c r="C653" s="28"/>
      <c r="E653" s="55"/>
      <c r="F653" s="55"/>
      <c r="K653" s="55"/>
      <c r="L653" s="55"/>
    </row>
    <row r="654">
      <c r="B654" s="28"/>
      <c r="C654" s="28"/>
      <c r="E654" s="55"/>
      <c r="F654" s="55"/>
      <c r="K654" s="55"/>
      <c r="L654" s="55"/>
    </row>
    <row r="655">
      <c r="B655" s="28"/>
      <c r="C655" s="28"/>
      <c r="E655" s="55"/>
      <c r="F655" s="55"/>
      <c r="K655" s="55"/>
      <c r="L655" s="55"/>
    </row>
    <row r="656">
      <c r="B656" s="28"/>
      <c r="C656" s="28"/>
      <c r="E656" s="55"/>
      <c r="F656" s="55"/>
      <c r="K656" s="55"/>
      <c r="L656" s="55"/>
    </row>
    <row r="657">
      <c r="B657" s="28"/>
      <c r="C657" s="28"/>
      <c r="E657" s="55"/>
      <c r="F657" s="55"/>
      <c r="K657" s="55"/>
      <c r="L657" s="55"/>
    </row>
    <row r="658">
      <c r="B658" s="28"/>
      <c r="C658" s="28"/>
      <c r="E658" s="55"/>
      <c r="F658" s="55"/>
      <c r="K658" s="55"/>
      <c r="L658" s="55"/>
    </row>
    <row r="659">
      <c r="B659" s="28"/>
      <c r="C659" s="28"/>
      <c r="E659" s="55"/>
      <c r="F659" s="55"/>
      <c r="K659" s="55"/>
      <c r="L659" s="55"/>
    </row>
    <row r="660">
      <c r="B660" s="28"/>
      <c r="C660" s="28"/>
      <c r="E660" s="55"/>
      <c r="F660" s="55"/>
      <c r="K660" s="55"/>
      <c r="L660" s="55"/>
    </row>
    <row r="661">
      <c r="B661" s="28"/>
      <c r="C661" s="28"/>
      <c r="E661" s="55"/>
      <c r="F661" s="55"/>
      <c r="K661" s="55"/>
      <c r="L661" s="55"/>
    </row>
    <row r="662">
      <c r="B662" s="28"/>
      <c r="C662" s="28"/>
      <c r="E662" s="55"/>
      <c r="F662" s="55"/>
      <c r="K662" s="55"/>
      <c r="L662" s="55"/>
    </row>
    <row r="663">
      <c r="B663" s="28"/>
      <c r="C663" s="28"/>
      <c r="E663" s="55"/>
      <c r="F663" s="55"/>
      <c r="K663" s="55"/>
      <c r="L663" s="55"/>
    </row>
    <row r="664">
      <c r="B664" s="28"/>
      <c r="C664" s="28"/>
      <c r="E664" s="55"/>
      <c r="F664" s="55"/>
      <c r="K664" s="55"/>
      <c r="L664" s="55"/>
    </row>
    <row r="665">
      <c r="B665" s="28"/>
      <c r="C665" s="28"/>
      <c r="E665" s="55"/>
      <c r="F665" s="55"/>
      <c r="K665" s="55"/>
      <c r="L665" s="55"/>
    </row>
    <row r="666">
      <c r="B666" s="28"/>
      <c r="C666" s="28"/>
      <c r="E666" s="55"/>
      <c r="F666" s="55"/>
      <c r="K666" s="55"/>
      <c r="L666" s="55"/>
    </row>
    <row r="667">
      <c r="B667" s="28"/>
      <c r="C667" s="28"/>
      <c r="E667" s="55"/>
      <c r="F667" s="55"/>
      <c r="K667" s="55"/>
      <c r="L667" s="55"/>
    </row>
    <row r="668">
      <c r="B668" s="28"/>
      <c r="C668" s="28"/>
      <c r="E668" s="55"/>
      <c r="F668" s="55"/>
      <c r="K668" s="55"/>
      <c r="L668" s="55"/>
    </row>
    <row r="669">
      <c r="B669" s="28"/>
      <c r="C669" s="28"/>
      <c r="E669" s="55"/>
      <c r="F669" s="55"/>
      <c r="K669" s="55"/>
      <c r="L669" s="55"/>
    </row>
    <row r="670">
      <c r="B670" s="28"/>
      <c r="C670" s="28"/>
      <c r="E670" s="55"/>
      <c r="F670" s="55"/>
      <c r="K670" s="55"/>
      <c r="L670" s="55"/>
    </row>
    <row r="671">
      <c r="B671" s="28"/>
      <c r="C671" s="28"/>
      <c r="E671" s="55"/>
      <c r="F671" s="55"/>
      <c r="K671" s="55"/>
      <c r="L671" s="55"/>
    </row>
    <row r="672">
      <c r="B672" s="28"/>
      <c r="C672" s="28"/>
      <c r="E672" s="55"/>
      <c r="F672" s="55"/>
      <c r="K672" s="55"/>
      <c r="L672" s="55"/>
    </row>
    <row r="673">
      <c r="B673" s="28"/>
      <c r="C673" s="28"/>
      <c r="E673" s="55"/>
      <c r="F673" s="55"/>
      <c r="K673" s="55"/>
      <c r="L673" s="55"/>
    </row>
    <row r="674">
      <c r="B674" s="28"/>
      <c r="C674" s="28"/>
      <c r="E674" s="55"/>
      <c r="F674" s="55"/>
      <c r="K674" s="55"/>
      <c r="L674" s="55"/>
    </row>
    <row r="675">
      <c r="B675" s="28"/>
      <c r="C675" s="28"/>
      <c r="E675" s="55"/>
      <c r="F675" s="55"/>
      <c r="K675" s="55"/>
      <c r="L675" s="55"/>
    </row>
    <row r="676">
      <c r="B676" s="28"/>
      <c r="C676" s="28"/>
      <c r="E676" s="55"/>
      <c r="F676" s="55"/>
      <c r="K676" s="55"/>
      <c r="L676" s="55"/>
    </row>
    <row r="677">
      <c r="B677" s="28"/>
      <c r="C677" s="28"/>
      <c r="E677" s="55"/>
      <c r="F677" s="55"/>
      <c r="K677" s="55"/>
      <c r="L677" s="55"/>
    </row>
    <row r="678">
      <c r="B678" s="28"/>
      <c r="C678" s="28"/>
      <c r="E678" s="55"/>
      <c r="F678" s="55"/>
      <c r="K678" s="55"/>
      <c r="L678" s="55"/>
    </row>
    <row r="679">
      <c r="B679" s="28"/>
      <c r="C679" s="28"/>
      <c r="E679" s="55"/>
      <c r="F679" s="55"/>
      <c r="K679" s="55"/>
      <c r="L679" s="55"/>
    </row>
    <row r="680">
      <c r="B680" s="28"/>
      <c r="C680" s="28"/>
      <c r="E680" s="55"/>
      <c r="F680" s="55"/>
      <c r="K680" s="55"/>
      <c r="L680" s="55"/>
    </row>
    <row r="681">
      <c r="B681" s="28"/>
      <c r="C681" s="28"/>
      <c r="E681" s="55"/>
      <c r="F681" s="55"/>
      <c r="K681" s="55"/>
      <c r="L681" s="55"/>
    </row>
    <row r="682">
      <c r="B682" s="28"/>
      <c r="C682" s="28"/>
      <c r="E682" s="55"/>
      <c r="F682" s="55"/>
      <c r="K682" s="55"/>
      <c r="L682" s="55"/>
    </row>
    <row r="683">
      <c r="B683" s="28"/>
      <c r="C683" s="28"/>
      <c r="E683" s="55"/>
      <c r="F683" s="55"/>
      <c r="K683" s="55"/>
      <c r="L683" s="55"/>
    </row>
    <row r="684">
      <c r="B684" s="28"/>
      <c r="C684" s="28"/>
      <c r="E684" s="55"/>
      <c r="F684" s="55"/>
      <c r="K684" s="55"/>
      <c r="L684" s="55"/>
    </row>
    <row r="685">
      <c r="B685" s="28"/>
      <c r="C685" s="28"/>
      <c r="E685" s="55"/>
      <c r="F685" s="55"/>
      <c r="K685" s="55"/>
      <c r="L685" s="55"/>
    </row>
    <row r="686">
      <c r="B686" s="28"/>
      <c r="C686" s="28"/>
      <c r="E686" s="55"/>
      <c r="F686" s="55"/>
      <c r="K686" s="55"/>
      <c r="L686" s="55"/>
    </row>
    <row r="687">
      <c r="B687" s="28"/>
      <c r="C687" s="28"/>
      <c r="E687" s="55"/>
      <c r="F687" s="55"/>
      <c r="K687" s="55"/>
      <c r="L687" s="55"/>
    </row>
    <row r="688">
      <c r="B688" s="28"/>
      <c r="C688" s="28"/>
      <c r="E688" s="55"/>
      <c r="F688" s="55"/>
      <c r="K688" s="55"/>
      <c r="L688" s="55"/>
    </row>
    <row r="689">
      <c r="B689" s="28"/>
      <c r="C689" s="28"/>
      <c r="E689" s="55"/>
      <c r="F689" s="55"/>
      <c r="K689" s="55"/>
      <c r="L689" s="55"/>
    </row>
    <row r="690">
      <c r="B690" s="28"/>
      <c r="C690" s="28"/>
      <c r="E690" s="55"/>
      <c r="F690" s="55"/>
      <c r="K690" s="55"/>
      <c r="L690" s="55"/>
    </row>
    <row r="691">
      <c r="B691" s="28"/>
      <c r="C691" s="28"/>
      <c r="E691" s="55"/>
      <c r="F691" s="55"/>
      <c r="K691" s="55"/>
      <c r="L691" s="55"/>
    </row>
    <row r="692">
      <c r="B692" s="28"/>
      <c r="C692" s="28"/>
      <c r="E692" s="55"/>
      <c r="F692" s="55"/>
      <c r="K692" s="55"/>
      <c r="L692" s="55"/>
    </row>
    <row r="693">
      <c r="B693" s="28"/>
      <c r="C693" s="28"/>
      <c r="E693" s="55"/>
      <c r="F693" s="55"/>
      <c r="K693" s="55"/>
      <c r="L693" s="55"/>
    </row>
    <row r="694">
      <c r="B694" s="28"/>
      <c r="C694" s="28"/>
      <c r="E694" s="55"/>
      <c r="F694" s="55"/>
      <c r="K694" s="55"/>
      <c r="L694" s="55"/>
    </row>
    <row r="695">
      <c r="B695" s="28"/>
      <c r="C695" s="28"/>
      <c r="E695" s="55"/>
      <c r="F695" s="55"/>
      <c r="K695" s="55"/>
      <c r="L695" s="55"/>
    </row>
    <row r="696">
      <c r="B696" s="28"/>
      <c r="C696" s="28"/>
      <c r="E696" s="55"/>
      <c r="F696" s="55"/>
      <c r="K696" s="55"/>
      <c r="L696" s="55"/>
    </row>
    <row r="697">
      <c r="B697" s="28"/>
      <c r="C697" s="28"/>
      <c r="E697" s="55"/>
      <c r="F697" s="55"/>
      <c r="K697" s="55"/>
      <c r="L697" s="55"/>
    </row>
    <row r="698">
      <c r="B698" s="28"/>
      <c r="C698" s="28"/>
      <c r="E698" s="55"/>
      <c r="F698" s="55"/>
      <c r="K698" s="55"/>
      <c r="L698" s="55"/>
    </row>
    <row r="699">
      <c r="B699" s="28"/>
      <c r="C699" s="28"/>
      <c r="E699" s="55"/>
      <c r="F699" s="55"/>
      <c r="K699" s="55"/>
      <c r="L699" s="55"/>
    </row>
    <row r="700">
      <c r="B700" s="28"/>
      <c r="C700" s="28"/>
      <c r="E700" s="55"/>
      <c r="F700" s="55"/>
      <c r="K700" s="55"/>
      <c r="L700" s="55"/>
    </row>
    <row r="701">
      <c r="B701" s="28"/>
      <c r="C701" s="28"/>
      <c r="E701" s="55"/>
      <c r="F701" s="55"/>
      <c r="K701" s="55"/>
      <c r="L701" s="55"/>
    </row>
    <row r="702">
      <c r="B702" s="28"/>
      <c r="C702" s="28"/>
      <c r="E702" s="55"/>
      <c r="F702" s="55"/>
      <c r="K702" s="55"/>
      <c r="L702" s="55"/>
    </row>
    <row r="703">
      <c r="B703" s="28"/>
      <c r="C703" s="28"/>
      <c r="E703" s="55"/>
      <c r="F703" s="55"/>
      <c r="K703" s="55"/>
      <c r="L703" s="55"/>
    </row>
    <row r="704">
      <c r="B704" s="28"/>
      <c r="C704" s="28"/>
      <c r="E704" s="55"/>
      <c r="F704" s="55"/>
      <c r="K704" s="55"/>
      <c r="L704" s="55"/>
    </row>
    <row r="705">
      <c r="B705" s="28"/>
      <c r="C705" s="28"/>
      <c r="E705" s="55"/>
      <c r="F705" s="55"/>
      <c r="K705" s="55"/>
      <c r="L705" s="55"/>
    </row>
    <row r="706">
      <c r="B706" s="28"/>
      <c r="C706" s="28"/>
      <c r="E706" s="55"/>
      <c r="F706" s="55"/>
      <c r="K706" s="55"/>
      <c r="L706" s="55"/>
    </row>
    <row r="707">
      <c r="B707" s="28"/>
      <c r="C707" s="28"/>
      <c r="E707" s="55"/>
      <c r="F707" s="55"/>
      <c r="K707" s="55"/>
      <c r="L707" s="55"/>
    </row>
    <row r="708">
      <c r="B708" s="28"/>
      <c r="C708" s="28"/>
      <c r="E708" s="55"/>
      <c r="F708" s="55"/>
      <c r="K708" s="55"/>
      <c r="L708" s="55"/>
    </row>
    <row r="709">
      <c r="B709" s="28"/>
      <c r="C709" s="28"/>
      <c r="E709" s="55"/>
      <c r="F709" s="55"/>
      <c r="K709" s="55"/>
      <c r="L709" s="55"/>
    </row>
    <row r="710">
      <c r="B710" s="28"/>
      <c r="C710" s="28"/>
      <c r="E710" s="55"/>
      <c r="F710" s="55"/>
      <c r="K710" s="55"/>
      <c r="L710" s="55"/>
    </row>
    <row r="711">
      <c r="B711" s="28"/>
      <c r="C711" s="28"/>
      <c r="E711" s="55"/>
      <c r="F711" s="55"/>
      <c r="K711" s="55"/>
      <c r="L711" s="55"/>
    </row>
    <row r="712">
      <c r="B712" s="28"/>
      <c r="C712" s="28"/>
      <c r="E712" s="55"/>
      <c r="F712" s="55"/>
      <c r="K712" s="55"/>
      <c r="L712" s="55"/>
    </row>
    <row r="713">
      <c r="B713" s="28"/>
      <c r="C713" s="28"/>
      <c r="E713" s="55"/>
      <c r="F713" s="55"/>
      <c r="K713" s="55"/>
      <c r="L713" s="55"/>
    </row>
    <row r="714">
      <c r="B714" s="28"/>
      <c r="C714" s="28"/>
      <c r="E714" s="55"/>
      <c r="F714" s="55"/>
      <c r="K714" s="55"/>
      <c r="L714" s="55"/>
    </row>
    <row r="715">
      <c r="B715" s="28"/>
      <c r="C715" s="28"/>
      <c r="E715" s="55"/>
      <c r="F715" s="55"/>
      <c r="K715" s="55"/>
      <c r="L715" s="55"/>
    </row>
    <row r="716">
      <c r="B716" s="28"/>
      <c r="C716" s="28"/>
      <c r="E716" s="55"/>
      <c r="F716" s="55"/>
      <c r="K716" s="55"/>
      <c r="L716" s="55"/>
    </row>
    <row r="717">
      <c r="B717" s="28"/>
      <c r="C717" s="28"/>
      <c r="E717" s="55"/>
      <c r="F717" s="55"/>
      <c r="K717" s="55"/>
      <c r="L717" s="55"/>
    </row>
    <row r="718">
      <c r="B718" s="28"/>
      <c r="C718" s="28"/>
      <c r="E718" s="55"/>
      <c r="F718" s="55"/>
      <c r="K718" s="55"/>
      <c r="L718" s="55"/>
    </row>
    <row r="719">
      <c r="B719" s="28"/>
      <c r="C719" s="28"/>
      <c r="E719" s="55"/>
      <c r="F719" s="55"/>
      <c r="K719" s="55"/>
      <c r="L719" s="55"/>
    </row>
    <row r="720">
      <c r="B720" s="28"/>
      <c r="C720" s="28"/>
      <c r="E720" s="55"/>
      <c r="F720" s="55"/>
      <c r="K720" s="55"/>
      <c r="L720" s="55"/>
    </row>
    <row r="721">
      <c r="B721" s="28"/>
      <c r="C721" s="28"/>
      <c r="E721" s="55"/>
      <c r="F721" s="55"/>
      <c r="K721" s="55"/>
      <c r="L721" s="55"/>
    </row>
    <row r="722">
      <c r="B722" s="28"/>
      <c r="C722" s="28"/>
      <c r="E722" s="55"/>
      <c r="F722" s="55"/>
      <c r="K722" s="55"/>
      <c r="L722" s="55"/>
    </row>
    <row r="723">
      <c r="B723" s="28"/>
      <c r="C723" s="28"/>
      <c r="E723" s="55"/>
      <c r="F723" s="55"/>
      <c r="K723" s="55"/>
      <c r="L723" s="55"/>
    </row>
    <row r="724">
      <c r="B724" s="28"/>
      <c r="C724" s="28"/>
      <c r="E724" s="55"/>
      <c r="F724" s="55"/>
      <c r="K724" s="55"/>
      <c r="L724" s="55"/>
    </row>
    <row r="725">
      <c r="B725" s="28"/>
      <c r="C725" s="28"/>
      <c r="E725" s="55"/>
      <c r="F725" s="55"/>
      <c r="K725" s="55"/>
      <c r="L725" s="55"/>
    </row>
    <row r="726">
      <c r="B726" s="28"/>
      <c r="C726" s="28"/>
      <c r="E726" s="55"/>
      <c r="F726" s="55"/>
      <c r="K726" s="55"/>
      <c r="L726" s="55"/>
    </row>
    <row r="727">
      <c r="B727" s="28"/>
      <c r="C727" s="28"/>
      <c r="E727" s="55"/>
      <c r="F727" s="55"/>
      <c r="K727" s="55"/>
      <c r="L727" s="55"/>
    </row>
    <row r="728">
      <c r="B728" s="28"/>
      <c r="C728" s="28"/>
      <c r="E728" s="55"/>
      <c r="F728" s="55"/>
      <c r="K728" s="55"/>
      <c r="L728" s="55"/>
    </row>
    <row r="729">
      <c r="B729" s="28"/>
      <c r="C729" s="28"/>
      <c r="E729" s="55"/>
      <c r="F729" s="55"/>
      <c r="K729" s="55"/>
      <c r="L729" s="55"/>
    </row>
    <row r="730">
      <c r="B730" s="28"/>
      <c r="C730" s="28"/>
      <c r="E730" s="55"/>
      <c r="F730" s="55"/>
      <c r="K730" s="55"/>
      <c r="L730" s="55"/>
    </row>
    <row r="731">
      <c r="B731" s="28"/>
      <c r="C731" s="28"/>
      <c r="E731" s="55"/>
      <c r="F731" s="55"/>
      <c r="K731" s="55"/>
      <c r="L731" s="55"/>
    </row>
    <row r="732">
      <c r="B732" s="28"/>
      <c r="C732" s="28"/>
      <c r="E732" s="55"/>
      <c r="F732" s="55"/>
      <c r="K732" s="55"/>
      <c r="L732" s="55"/>
    </row>
    <row r="733">
      <c r="B733" s="28"/>
      <c r="C733" s="28"/>
      <c r="E733" s="55"/>
      <c r="F733" s="55"/>
      <c r="K733" s="55"/>
      <c r="L733" s="55"/>
    </row>
    <row r="734">
      <c r="B734" s="28"/>
      <c r="C734" s="28"/>
      <c r="E734" s="55"/>
      <c r="F734" s="55"/>
      <c r="K734" s="55"/>
      <c r="L734" s="55"/>
    </row>
    <row r="735">
      <c r="B735" s="28"/>
      <c r="C735" s="28"/>
      <c r="E735" s="55"/>
      <c r="F735" s="55"/>
      <c r="K735" s="55"/>
      <c r="L735" s="55"/>
    </row>
    <row r="736">
      <c r="B736" s="28"/>
      <c r="C736" s="28"/>
      <c r="E736" s="55"/>
      <c r="F736" s="55"/>
      <c r="K736" s="55"/>
      <c r="L736" s="55"/>
    </row>
    <row r="737">
      <c r="B737" s="28"/>
      <c r="C737" s="28"/>
      <c r="E737" s="55"/>
      <c r="F737" s="55"/>
      <c r="K737" s="55"/>
      <c r="L737" s="55"/>
    </row>
    <row r="738">
      <c r="B738" s="28"/>
      <c r="C738" s="28"/>
      <c r="E738" s="55"/>
      <c r="F738" s="55"/>
      <c r="K738" s="55"/>
      <c r="L738" s="55"/>
    </row>
    <row r="739">
      <c r="B739" s="28"/>
      <c r="C739" s="28"/>
      <c r="E739" s="55"/>
      <c r="F739" s="55"/>
      <c r="K739" s="55"/>
      <c r="L739" s="55"/>
    </row>
    <row r="740">
      <c r="B740" s="28"/>
      <c r="C740" s="28"/>
      <c r="E740" s="55"/>
      <c r="F740" s="55"/>
      <c r="K740" s="55"/>
      <c r="L740" s="55"/>
    </row>
    <row r="741">
      <c r="B741" s="28"/>
      <c r="C741" s="28"/>
      <c r="E741" s="55"/>
      <c r="F741" s="55"/>
      <c r="K741" s="55"/>
      <c r="L741" s="55"/>
    </row>
    <row r="742">
      <c r="B742" s="28"/>
      <c r="C742" s="28"/>
      <c r="E742" s="55"/>
      <c r="F742" s="55"/>
      <c r="K742" s="55"/>
      <c r="L742" s="55"/>
    </row>
    <row r="743">
      <c r="B743" s="28"/>
      <c r="C743" s="28"/>
      <c r="E743" s="55"/>
      <c r="F743" s="55"/>
      <c r="K743" s="55"/>
      <c r="L743" s="55"/>
    </row>
    <row r="744">
      <c r="B744" s="28"/>
      <c r="C744" s="28"/>
      <c r="E744" s="55"/>
      <c r="F744" s="55"/>
      <c r="K744" s="55"/>
      <c r="L744" s="55"/>
    </row>
    <row r="745">
      <c r="B745" s="28"/>
      <c r="C745" s="28"/>
      <c r="E745" s="55"/>
      <c r="F745" s="55"/>
      <c r="K745" s="55"/>
      <c r="L745" s="55"/>
    </row>
    <row r="746">
      <c r="B746" s="28"/>
      <c r="C746" s="28"/>
      <c r="E746" s="55"/>
      <c r="F746" s="55"/>
      <c r="K746" s="55"/>
      <c r="L746" s="55"/>
    </row>
    <row r="747">
      <c r="B747" s="28"/>
      <c r="C747" s="28"/>
      <c r="E747" s="55"/>
      <c r="F747" s="55"/>
      <c r="K747" s="55"/>
      <c r="L747" s="55"/>
    </row>
    <row r="748">
      <c r="B748" s="28"/>
      <c r="C748" s="28"/>
      <c r="E748" s="55"/>
      <c r="F748" s="55"/>
      <c r="K748" s="55"/>
      <c r="L748" s="55"/>
    </row>
    <row r="749">
      <c r="B749" s="28"/>
      <c r="C749" s="28"/>
      <c r="E749" s="55"/>
      <c r="F749" s="55"/>
      <c r="K749" s="55"/>
      <c r="L749" s="55"/>
    </row>
    <row r="750">
      <c r="B750" s="28"/>
      <c r="C750" s="28"/>
      <c r="E750" s="55"/>
      <c r="F750" s="55"/>
      <c r="K750" s="55"/>
      <c r="L750" s="55"/>
    </row>
    <row r="751">
      <c r="B751" s="28"/>
      <c r="C751" s="28"/>
      <c r="E751" s="55"/>
      <c r="F751" s="55"/>
      <c r="K751" s="55"/>
      <c r="L751" s="55"/>
    </row>
    <row r="752">
      <c r="B752" s="28"/>
      <c r="C752" s="28"/>
      <c r="E752" s="55"/>
      <c r="F752" s="55"/>
      <c r="K752" s="55"/>
      <c r="L752" s="55"/>
    </row>
    <row r="753">
      <c r="B753" s="28"/>
      <c r="C753" s="28"/>
      <c r="E753" s="55"/>
      <c r="F753" s="55"/>
      <c r="K753" s="55"/>
      <c r="L753" s="55"/>
    </row>
    <row r="754">
      <c r="B754" s="28"/>
      <c r="C754" s="28"/>
      <c r="E754" s="55"/>
      <c r="F754" s="55"/>
      <c r="K754" s="55"/>
      <c r="L754" s="55"/>
    </row>
    <row r="755">
      <c r="B755" s="28"/>
      <c r="C755" s="28"/>
      <c r="E755" s="55"/>
      <c r="F755" s="55"/>
      <c r="K755" s="55"/>
      <c r="L755" s="55"/>
    </row>
    <row r="756">
      <c r="B756" s="28"/>
      <c r="C756" s="28"/>
      <c r="E756" s="55"/>
      <c r="F756" s="55"/>
      <c r="K756" s="55"/>
      <c r="L756" s="55"/>
    </row>
    <row r="757">
      <c r="B757" s="28"/>
      <c r="C757" s="28"/>
      <c r="E757" s="55"/>
      <c r="F757" s="55"/>
      <c r="K757" s="55"/>
      <c r="L757" s="55"/>
    </row>
    <row r="758">
      <c r="B758" s="28"/>
      <c r="C758" s="28"/>
      <c r="E758" s="55"/>
      <c r="F758" s="55"/>
      <c r="K758" s="55"/>
      <c r="L758" s="55"/>
    </row>
    <row r="759">
      <c r="B759" s="28"/>
      <c r="C759" s="28"/>
      <c r="E759" s="55"/>
      <c r="F759" s="55"/>
      <c r="K759" s="55"/>
      <c r="L759" s="55"/>
    </row>
    <row r="760">
      <c r="B760" s="28"/>
      <c r="C760" s="28"/>
      <c r="E760" s="55"/>
      <c r="F760" s="55"/>
      <c r="K760" s="55"/>
      <c r="L760" s="55"/>
    </row>
    <row r="761">
      <c r="B761" s="28"/>
      <c r="C761" s="28"/>
      <c r="E761" s="55"/>
      <c r="F761" s="55"/>
      <c r="K761" s="55"/>
      <c r="L761" s="55"/>
    </row>
    <row r="762">
      <c r="B762" s="28"/>
      <c r="C762" s="28"/>
      <c r="E762" s="55"/>
      <c r="F762" s="55"/>
      <c r="K762" s="55"/>
      <c r="L762" s="55"/>
    </row>
    <row r="763">
      <c r="B763" s="28"/>
      <c r="C763" s="28"/>
      <c r="E763" s="55"/>
      <c r="F763" s="55"/>
      <c r="K763" s="55"/>
      <c r="L763" s="55"/>
    </row>
    <row r="764">
      <c r="B764" s="28"/>
      <c r="C764" s="28"/>
      <c r="E764" s="55"/>
      <c r="F764" s="55"/>
      <c r="K764" s="55"/>
      <c r="L764" s="55"/>
    </row>
    <row r="765">
      <c r="B765" s="28"/>
      <c r="C765" s="28"/>
      <c r="E765" s="55"/>
      <c r="F765" s="55"/>
      <c r="K765" s="55"/>
      <c r="L765" s="55"/>
    </row>
    <row r="766">
      <c r="B766" s="28"/>
      <c r="C766" s="28"/>
      <c r="E766" s="55"/>
      <c r="F766" s="55"/>
      <c r="K766" s="55"/>
      <c r="L766" s="55"/>
    </row>
    <row r="767">
      <c r="B767" s="28"/>
      <c r="C767" s="28"/>
      <c r="E767" s="55"/>
      <c r="F767" s="55"/>
      <c r="K767" s="55"/>
      <c r="L767" s="55"/>
    </row>
    <row r="768">
      <c r="B768" s="28"/>
      <c r="C768" s="28"/>
      <c r="E768" s="55"/>
      <c r="F768" s="55"/>
      <c r="K768" s="55"/>
      <c r="L768" s="55"/>
    </row>
    <row r="769">
      <c r="B769" s="28"/>
      <c r="C769" s="28"/>
      <c r="E769" s="55"/>
      <c r="F769" s="55"/>
      <c r="K769" s="55"/>
      <c r="L769" s="55"/>
    </row>
    <row r="770">
      <c r="B770" s="28"/>
      <c r="C770" s="28"/>
      <c r="E770" s="55"/>
      <c r="F770" s="55"/>
      <c r="K770" s="55"/>
      <c r="L770" s="55"/>
    </row>
    <row r="771">
      <c r="B771" s="28"/>
      <c r="C771" s="28"/>
      <c r="E771" s="55"/>
      <c r="F771" s="55"/>
      <c r="K771" s="55"/>
      <c r="L771" s="55"/>
    </row>
    <row r="772">
      <c r="B772" s="28"/>
      <c r="C772" s="28"/>
      <c r="E772" s="55"/>
      <c r="F772" s="55"/>
      <c r="K772" s="55"/>
      <c r="L772" s="55"/>
    </row>
    <row r="773">
      <c r="B773" s="28"/>
      <c r="C773" s="28"/>
      <c r="E773" s="55"/>
      <c r="F773" s="55"/>
      <c r="K773" s="55"/>
      <c r="L773" s="55"/>
    </row>
    <row r="774">
      <c r="B774" s="28"/>
      <c r="C774" s="28"/>
      <c r="E774" s="55"/>
      <c r="F774" s="55"/>
      <c r="K774" s="55"/>
      <c r="L774" s="55"/>
    </row>
    <row r="775">
      <c r="B775" s="28"/>
      <c r="C775" s="28"/>
      <c r="E775" s="55"/>
      <c r="F775" s="55"/>
      <c r="K775" s="55"/>
      <c r="L775" s="55"/>
    </row>
    <row r="776">
      <c r="B776" s="28"/>
      <c r="C776" s="28"/>
      <c r="E776" s="55"/>
      <c r="F776" s="55"/>
      <c r="K776" s="55"/>
      <c r="L776" s="55"/>
    </row>
    <row r="777">
      <c r="B777" s="28"/>
      <c r="C777" s="28"/>
      <c r="E777" s="55"/>
      <c r="F777" s="55"/>
      <c r="K777" s="55"/>
      <c r="L777" s="55"/>
    </row>
    <row r="778">
      <c r="B778" s="28"/>
      <c r="C778" s="28"/>
      <c r="E778" s="55"/>
      <c r="F778" s="55"/>
      <c r="K778" s="55"/>
      <c r="L778" s="55"/>
    </row>
    <row r="779">
      <c r="B779" s="28"/>
      <c r="C779" s="28"/>
      <c r="E779" s="55"/>
      <c r="F779" s="55"/>
      <c r="K779" s="55"/>
      <c r="L779" s="55"/>
    </row>
    <row r="780">
      <c r="B780" s="28"/>
      <c r="C780" s="28"/>
      <c r="E780" s="55"/>
      <c r="F780" s="55"/>
      <c r="K780" s="55"/>
      <c r="L780" s="55"/>
    </row>
    <row r="781">
      <c r="B781" s="28"/>
      <c r="C781" s="28"/>
      <c r="E781" s="55"/>
      <c r="F781" s="55"/>
      <c r="K781" s="55"/>
      <c r="L781" s="55"/>
    </row>
    <row r="782">
      <c r="B782" s="28"/>
      <c r="C782" s="28"/>
      <c r="E782" s="55"/>
      <c r="F782" s="55"/>
      <c r="K782" s="55"/>
      <c r="L782" s="55"/>
    </row>
    <row r="783">
      <c r="B783" s="28"/>
      <c r="C783" s="28"/>
      <c r="E783" s="55"/>
      <c r="F783" s="55"/>
      <c r="K783" s="55"/>
      <c r="L783" s="55"/>
    </row>
    <row r="784">
      <c r="B784" s="28"/>
      <c r="C784" s="28"/>
      <c r="E784" s="55"/>
      <c r="F784" s="55"/>
      <c r="K784" s="55"/>
      <c r="L784" s="55"/>
    </row>
    <row r="785">
      <c r="B785" s="28"/>
      <c r="C785" s="28"/>
      <c r="E785" s="55"/>
      <c r="F785" s="55"/>
      <c r="K785" s="55"/>
      <c r="L785" s="55"/>
    </row>
    <row r="786">
      <c r="B786" s="28"/>
      <c r="C786" s="28"/>
      <c r="E786" s="55"/>
      <c r="F786" s="55"/>
      <c r="K786" s="55"/>
      <c r="L786" s="55"/>
    </row>
    <row r="787">
      <c r="B787" s="28"/>
      <c r="C787" s="28"/>
      <c r="E787" s="55"/>
      <c r="F787" s="55"/>
      <c r="K787" s="55"/>
      <c r="L787" s="55"/>
    </row>
    <row r="788">
      <c r="B788" s="28"/>
      <c r="C788" s="28"/>
      <c r="E788" s="55"/>
      <c r="F788" s="55"/>
      <c r="K788" s="55"/>
      <c r="L788" s="55"/>
    </row>
    <row r="789">
      <c r="B789" s="28"/>
      <c r="C789" s="28"/>
      <c r="E789" s="55"/>
      <c r="F789" s="55"/>
      <c r="K789" s="55"/>
      <c r="L789" s="55"/>
    </row>
    <row r="790">
      <c r="B790" s="28"/>
      <c r="C790" s="28"/>
      <c r="E790" s="55"/>
      <c r="F790" s="55"/>
      <c r="K790" s="55"/>
      <c r="L790" s="55"/>
    </row>
    <row r="791">
      <c r="B791" s="28"/>
      <c r="C791" s="28"/>
      <c r="E791" s="55"/>
      <c r="F791" s="55"/>
      <c r="K791" s="55"/>
      <c r="L791" s="55"/>
    </row>
    <row r="792">
      <c r="B792" s="28"/>
      <c r="C792" s="28"/>
      <c r="E792" s="55"/>
      <c r="F792" s="55"/>
      <c r="K792" s="55"/>
      <c r="L792" s="55"/>
    </row>
    <row r="793">
      <c r="B793" s="28"/>
      <c r="C793" s="28"/>
      <c r="E793" s="55"/>
      <c r="F793" s="55"/>
      <c r="K793" s="55"/>
      <c r="L793" s="55"/>
    </row>
    <row r="794">
      <c r="B794" s="28"/>
      <c r="C794" s="28"/>
      <c r="E794" s="55"/>
      <c r="F794" s="55"/>
      <c r="K794" s="55"/>
      <c r="L794" s="55"/>
    </row>
    <row r="795">
      <c r="B795" s="28"/>
      <c r="C795" s="28"/>
      <c r="E795" s="55"/>
      <c r="F795" s="55"/>
      <c r="K795" s="55"/>
      <c r="L795" s="55"/>
    </row>
    <row r="796">
      <c r="B796" s="28"/>
      <c r="C796" s="28"/>
      <c r="E796" s="55"/>
      <c r="F796" s="55"/>
      <c r="K796" s="55"/>
      <c r="L796" s="55"/>
    </row>
    <row r="797">
      <c r="B797" s="28"/>
      <c r="C797" s="28"/>
      <c r="E797" s="55"/>
      <c r="F797" s="55"/>
      <c r="K797" s="55"/>
      <c r="L797" s="55"/>
    </row>
    <row r="798">
      <c r="B798" s="28"/>
      <c r="C798" s="28"/>
      <c r="E798" s="55"/>
      <c r="F798" s="55"/>
      <c r="K798" s="55"/>
      <c r="L798" s="55"/>
    </row>
    <row r="799">
      <c r="B799" s="28"/>
      <c r="C799" s="28"/>
      <c r="E799" s="55"/>
      <c r="F799" s="55"/>
      <c r="K799" s="55"/>
      <c r="L799" s="55"/>
    </row>
    <row r="800">
      <c r="B800" s="28"/>
      <c r="C800" s="28"/>
      <c r="E800" s="55"/>
      <c r="F800" s="55"/>
      <c r="K800" s="55"/>
      <c r="L800" s="55"/>
    </row>
    <row r="801">
      <c r="B801" s="28"/>
      <c r="C801" s="28"/>
      <c r="E801" s="55"/>
      <c r="F801" s="55"/>
      <c r="K801" s="55"/>
      <c r="L801" s="55"/>
    </row>
    <row r="802">
      <c r="B802" s="28"/>
      <c r="C802" s="28"/>
      <c r="E802" s="55"/>
      <c r="F802" s="55"/>
      <c r="K802" s="55"/>
      <c r="L802" s="55"/>
    </row>
    <row r="803">
      <c r="B803" s="28"/>
      <c r="C803" s="28"/>
      <c r="E803" s="55"/>
      <c r="F803" s="55"/>
      <c r="K803" s="55"/>
      <c r="L803" s="55"/>
    </row>
    <row r="804">
      <c r="B804" s="28"/>
      <c r="C804" s="28"/>
      <c r="E804" s="55"/>
      <c r="F804" s="55"/>
      <c r="K804" s="55"/>
      <c r="L804" s="55"/>
    </row>
    <row r="805">
      <c r="B805" s="28"/>
      <c r="C805" s="28"/>
      <c r="E805" s="55"/>
      <c r="F805" s="55"/>
      <c r="K805" s="55"/>
      <c r="L805" s="55"/>
    </row>
    <row r="806">
      <c r="B806" s="28"/>
      <c r="C806" s="28"/>
      <c r="E806" s="55"/>
      <c r="F806" s="55"/>
      <c r="K806" s="55"/>
      <c r="L806" s="55"/>
    </row>
    <row r="807">
      <c r="B807" s="28"/>
      <c r="C807" s="28"/>
      <c r="E807" s="55"/>
      <c r="F807" s="55"/>
      <c r="K807" s="55"/>
      <c r="L807" s="55"/>
    </row>
    <row r="808">
      <c r="B808" s="28"/>
      <c r="C808" s="28"/>
      <c r="E808" s="55"/>
      <c r="F808" s="55"/>
      <c r="K808" s="55"/>
      <c r="L808" s="55"/>
    </row>
    <row r="809">
      <c r="B809" s="28"/>
      <c r="C809" s="28"/>
      <c r="E809" s="55"/>
      <c r="F809" s="55"/>
      <c r="K809" s="55"/>
      <c r="L809" s="55"/>
    </row>
    <row r="810">
      <c r="B810" s="28"/>
      <c r="C810" s="28"/>
      <c r="E810" s="55"/>
      <c r="F810" s="55"/>
      <c r="K810" s="55"/>
      <c r="L810" s="55"/>
    </row>
    <row r="811">
      <c r="B811" s="28"/>
      <c r="C811" s="28"/>
      <c r="E811" s="55"/>
      <c r="F811" s="55"/>
      <c r="K811" s="55"/>
      <c r="L811" s="55"/>
    </row>
    <row r="812">
      <c r="B812" s="28"/>
      <c r="C812" s="28"/>
      <c r="E812" s="55"/>
      <c r="F812" s="55"/>
      <c r="K812" s="55"/>
      <c r="L812" s="55"/>
    </row>
    <row r="813">
      <c r="B813" s="28"/>
      <c r="C813" s="28"/>
      <c r="E813" s="55"/>
      <c r="F813" s="55"/>
      <c r="K813" s="55"/>
      <c r="L813" s="55"/>
    </row>
    <row r="814">
      <c r="B814" s="28"/>
      <c r="C814" s="28"/>
      <c r="E814" s="55"/>
      <c r="F814" s="55"/>
      <c r="K814" s="55"/>
      <c r="L814" s="55"/>
    </row>
    <row r="815">
      <c r="B815" s="28"/>
      <c r="C815" s="28"/>
      <c r="E815" s="55"/>
      <c r="F815" s="55"/>
      <c r="K815" s="55"/>
      <c r="L815" s="55"/>
    </row>
    <row r="816">
      <c r="B816" s="28"/>
      <c r="C816" s="28"/>
      <c r="E816" s="55"/>
      <c r="F816" s="55"/>
      <c r="K816" s="55"/>
      <c r="L816" s="55"/>
    </row>
    <row r="817">
      <c r="B817" s="28"/>
      <c r="C817" s="28"/>
      <c r="E817" s="55"/>
      <c r="F817" s="55"/>
      <c r="K817" s="55"/>
      <c r="L817" s="55"/>
    </row>
    <row r="818">
      <c r="B818" s="28"/>
      <c r="C818" s="28"/>
      <c r="E818" s="55"/>
      <c r="F818" s="55"/>
      <c r="K818" s="55"/>
      <c r="L818" s="55"/>
    </row>
    <row r="819">
      <c r="B819" s="28"/>
      <c r="C819" s="28"/>
      <c r="E819" s="55"/>
      <c r="F819" s="55"/>
      <c r="K819" s="55"/>
      <c r="L819" s="55"/>
    </row>
    <row r="820">
      <c r="B820" s="28"/>
      <c r="C820" s="28"/>
      <c r="E820" s="55"/>
      <c r="F820" s="55"/>
      <c r="K820" s="55"/>
      <c r="L820" s="55"/>
    </row>
    <row r="821">
      <c r="B821" s="28"/>
      <c r="C821" s="28"/>
      <c r="E821" s="55"/>
      <c r="F821" s="55"/>
      <c r="K821" s="55"/>
      <c r="L821" s="55"/>
    </row>
    <row r="822">
      <c r="B822" s="28"/>
      <c r="C822" s="28"/>
      <c r="E822" s="55"/>
      <c r="F822" s="55"/>
      <c r="K822" s="55"/>
      <c r="L822" s="55"/>
    </row>
    <row r="823">
      <c r="B823" s="28"/>
      <c r="C823" s="28"/>
      <c r="E823" s="55"/>
      <c r="F823" s="55"/>
      <c r="K823" s="55"/>
      <c r="L823" s="55"/>
    </row>
    <row r="824">
      <c r="B824" s="28"/>
      <c r="C824" s="28"/>
      <c r="E824" s="55"/>
      <c r="F824" s="55"/>
      <c r="K824" s="55"/>
      <c r="L824" s="55"/>
    </row>
    <row r="825">
      <c r="B825" s="28"/>
      <c r="C825" s="28"/>
      <c r="E825" s="55"/>
      <c r="F825" s="55"/>
      <c r="K825" s="55"/>
      <c r="L825" s="55"/>
    </row>
    <row r="826">
      <c r="B826" s="28"/>
      <c r="C826" s="28"/>
      <c r="E826" s="55"/>
      <c r="F826" s="55"/>
      <c r="K826" s="55"/>
      <c r="L826" s="55"/>
    </row>
    <row r="827">
      <c r="B827" s="28"/>
      <c r="C827" s="28"/>
      <c r="E827" s="55"/>
      <c r="F827" s="55"/>
      <c r="K827" s="55"/>
      <c r="L827" s="55"/>
    </row>
    <row r="828">
      <c r="B828" s="28"/>
      <c r="C828" s="28"/>
      <c r="E828" s="55"/>
      <c r="F828" s="55"/>
      <c r="K828" s="55"/>
      <c r="L828" s="55"/>
    </row>
    <row r="829">
      <c r="B829" s="28"/>
      <c r="C829" s="28"/>
      <c r="E829" s="55"/>
      <c r="F829" s="55"/>
      <c r="K829" s="55"/>
      <c r="L829" s="55"/>
    </row>
    <row r="830">
      <c r="B830" s="28"/>
      <c r="C830" s="28"/>
      <c r="E830" s="55"/>
      <c r="F830" s="55"/>
      <c r="K830" s="55"/>
      <c r="L830" s="55"/>
    </row>
    <row r="831">
      <c r="B831" s="28"/>
      <c r="C831" s="28"/>
      <c r="E831" s="55"/>
      <c r="F831" s="55"/>
      <c r="K831" s="55"/>
      <c r="L831" s="55"/>
    </row>
    <row r="832">
      <c r="B832" s="28"/>
      <c r="C832" s="28"/>
      <c r="E832" s="55"/>
      <c r="F832" s="55"/>
      <c r="K832" s="55"/>
      <c r="L832" s="55"/>
    </row>
    <row r="833">
      <c r="B833" s="28"/>
      <c r="C833" s="28"/>
      <c r="E833" s="55"/>
      <c r="F833" s="55"/>
      <c r="K833" s="55"/>
      <c r="L833" s="55"/>
    </row>
    <row r="834">
      <c r="B834" s="28"/>
      <c r="C834" s="28"/>
      <c r="E834" s="55"/>
      <c r="F834" s="55"/>
      <c r="K834" s="55"/>
      <c r="L834" s="55"/>
    </row>
    <row r="835">
      <c r="B835" s="28"/>
      <c r="C835" s="28"/>
      <c r="E835" s="55"/>
      <c r="F835" s="55"/>
      <c r="K835" s="55"/>
      <c r="L835" s="55"/>
    </row>
    <row r="836">
      <c r="B836" s="28"/>
      <c r="C836" s="28"/>
      <c r="E836" s="55"/>
      <c r="F836" s="55"/>
      <c r="K836" s="55"/>
      <c r="L836" s="55"/>
    </row>
    <row r="837">
      <c r="B837" s="28"/>
      <c r="C837" s="28"/>
      <c r="E837" s="55"/>
      <c r="F837" s="55"/>
      <c r="K837" s="55"/>
      <c r="L837" s="55"/>
    </row>
    <row r="838">
      <c r="B838" s="28"/>
      <c r="C838" s="28"/>
      <c r="E838" s="55"/>
      <c r="F838" s="55"/>
      <c r="K838" s="55"/>
      <c r="L838" s="55"/>
    </row>
    <row r="839">
      <c r="B839" s="28"/>
      <c r="C839" s="28"/>
      <c r="E839" s="55"/>
      <c r="F839" s="55"/>
      <c r="K839" s="55"/>
      <c r="L839" s="55"/>
    </row>
    <row r="840">
      <c r="B840" s="28"/>
      <c r="C840" s="28"/>
      <c r="E840" s="55"/>
      <c r="F840" s="55"/>
      <c r="K840" s="55"/>
      <c r="L840" s="55"/>
    </row>
    <row r="841">
      <c r="B841" s="28"/>
      <c r="C841" s="28"/>
      <c r="E841" s="55"/>
      <c r="F841" s="55"/>
      <c r="K841" s="55"/>
      <c r="L841" s="55"/>
    </row>
    <row r="842">
      <c r="B842" s="28"/>
      <c r="C842" s="28"/>
      <c r="E842" s="55"/>
      <c r="F842" s="55"/>
      <c r="K842" s="55"/>
      <c r="L842" s="55"/>
    </row>
    <row r="843">
      <c r="B843" s="28"/>
      <c r="C843" s="28"/>
      <c r="E843" s="55"/>
      <c r="F843" s="55"/>
      <c r="K843" s="55"/>
      <c r="L843" s="55"/>
    </row>
    <row r="844">
      <c r="B844" s="28"/>
      <c r="C844" s="28"/>
      <c r="E844" s="55"/>
      <c r="F844" s="55"/>
      <c r="K844" s="55"/>
      <c r="L844" s="55"/>
    </row>
    <row r="845">
      <c r="B845" s="28"/>
      <c r="C845" s="28"/>
      <c r="E845" s="55"/>
      <c r="F845" s="55"/>
      <c r="K845" s="55"/>
      <c r="L845" s="55"/>
    </row>
    <row r="846">
      <c r="B846" s="28"/>
      <c r="C846" s="28"/>
      <c r="E846" s="55"/>
      <c r="F846" s="55"/>
      <c r="K846" s="55"/>
      <c r="L846" s="55"/>
    </row>
    <row r="847">
      <c r="B847" s="28"/>
      <c r="C847" s="28"/>
      <c r="E847" s="55"/>
      <c r="F847" s="55"/>
      <c r="K847" s="55"/>
      <c r="L847" s="55"/>
    </row>
    <row r="848">
      <c r="B848" s="28"/>
      <c r="C848" s="28"/>
      <c r="E848" s="55"/>
      <c r="F848" s="55"/>
      <c r="K848" s="55"/>
      <c r="L848" s="55"/>
    </row>
    <row r="849">
      <c r="B849" s="28"/>
      <c r="C849" s="28"/>
      <c r="E849" s="55"/>
      <c r="F849" s="55"/>
      <c r="K849" s="55"/>
      <c r="L849" s="55"/>
    </row>
    <row r="850">
      <c r="B850" s="28"/>
      <c r="C850" s="28"/>
      <c r="E850" s="55"/>
      <c r="F850" s="55"/>
      <c r="K850" s="55"/>
      <c r="L850" s="55"/>
    </row>
    <row r="851">
      <c r="B851" s="28"/>
      <c r="C851" s="28"/>
      <c r="E851" s="55"/>
      <c r="F851" s="55"/>
      <c r="K851" s="55"/>
      <c r="L851" s="55"/>
    </row>
    <row r="852">
      <c r="B852" s="28"/>
      <c r="C852" s="28"/>
      <c r="E852" s="55"/>
      <c r="F852" s="55"/>
      <c r="K852" s="55"/>
      <c r="L852" s="55"/>
    </row>
    <row r="853">
      <c r="B853" s="28"/>
      <c r="C853" s="28"/>
      <c r="E853" s="55"/>
      <c r="F853" s="55"/>
      <c r="K853" s="55"/>
      <c r="L853" s="55"/>
    </row>
    <row r="854">
      <c r="B854" s="28"/>
      <c r="C854" s="28"/>
      <c r="E854" s="55"/>
      <c r="F854" s="55"/>
      <c r="K854" s="55"/>
      <c r="L854" s="55"/>
    </row>
    <row r="855">
      <c r="B855" s="28"/>
      <c r="C855" s="28"/>
      <c r="E855" s="55"/>
      <c r="F855" s="55"/>
      <c r="K855" s="55"/>
      <c r="L855" s="55"/>
    </row>
    <row r="856">
      <c r="B856" s="28"/>
      <c r="C856" s="28"/>
      <c r="E856" s="55"/>
      <c r="F856" s="55"/>
      <c r="K856" s="55"/>
      <c r="L856" s="55"/>
    </row>
    <row r="857">
      <c r="B857" s="28"/>
      <c r="C857" s="28"/>
      <c r="E857" s="55"/>
      <c r="F857" s="55"/>
      <c r="K857" s="55"/>
      <c r="L857" s="55"/>
    </row>
    <row r="858">
      <c r="B858" s="28"/>
      <c r="C858" s="28"/>
      <c r="E858" s="55"/>
      <c r="F858" s="55"/>
      <c r="K858" s="55"/>
      <c r="L858" s="55"/>
    </row>
    <row r="859">
      <c r="B859" s="28"/>
      <c r="C859" s="28"/>
      <c r="E859" s="55"/>
      <c r="F859" s="55"/>
      <c r="K859" s="55"/>
      <c r="L859" s="55"/>
    </row>
    <row r="860">
      <c r="B860" s="28"/>
      <c r="C860" s="28"/>
      <c r="E860" s="55"/>
      <c r="F860" s="55"/>
      <c r="K860" s="55"/>
      <c r="L860" s="55"/>
    </row>
    <row r="861">
      <c r="B861" s="28"/>
      <c r="C861" s="28"/>
      <c r="E861" s="55"/>
      <c r="F861" s="55"/>
      <c r="K861" s="55"/>
      <c r="L861" s="55"/>
    </row>
    <row r="862">
      <c r="B862" s="28"/>
      <c r="C862" s="28"/>
      <c r="E862" s="55"/>
      <c r="F862" s="55"/>
      <c r="K862" s="55"/>
      <c r="L862" s="55"/>
    </row>
    <row r="863">
      <c r="B863" s="28"/>
      <c r="C863" s="28"/>
      <c r="E863" s="55"/>
      <c r="F863" s="55"/>
      <c r="K863" s="55"/>
      <c r="L863" s="55"/>
    </row>
    <row r="864">
      <c r="B864" s="28"/>
      <c r="C864" s="28"/>
      <c r="E864" s="55"/>
      <c r="F864" s="55"/>
      <c r="K864" s="55"/>
      <c r="L864" s="55"/>
    </row>
    <row r="865">
      <c r="B865" s="28"/>
      <c r="C865" s="28"/>
      <c r="E865" s="55"/>
      <c r="F865" s="55"/>
      <c r="K865" s="55"/>
      <c r="L865" s="55"/>
    </row>
    <row r="866">
      <c r="B866" s="28"/>
      <c r="C866" s="28"/>
      <c r="E866" s="55"/>
      <c r="F866" s="55"/>
      <c r="K866" s="55"/>
      <c r="L866" s="55"/>
    </row>
    <row r="867">
      <c r="B867" s="28"/>
      <c r="C867" s="28"/>
      <c r="E867" s="55"/>
      <c r="F867" s="55"/>
      <c r="K867" s="55"/>
      <c r="L867" s="55"/>
    </row>
    <row r="868">
      <c r="B868" s="28"/>
      <c r="C868" s="28"/>
      <c r="E868" s="55"/>
      <c r="F868" s="55"/>
      <c r="K868" s="55"/>
      <c r="L868" s="55"/>
    </row>
    <row r="869">
      <c r="B869" s="28"/>
      <c r="C869" s="28"/>
      <c r="E869" s="55"/>
      <c r="F869" s="55"/>
      <c r="K869" s="55"/>
      <c r="L869" s="55"/>
    </row>
    <row r="870">
      <c r="B870" s="28"/>
      <c r="C870" s="28"/>
      <c r="E870" s="55"/>
      <c r="F870" s="55"/>
      <c r="K870" s="55"/>
      <c r="L870" s="55"/>
    </row>
    <row r="871">
      <c r="B871" s="28"/>
      <c r="C871" s="28"/>
      <c r="E871" s="55"/>
      <c r="F871" s="55"/>
      <c r="K871" s="55"/>
      <c r="L871" s="55"/>
    </row>
    <row r="872">
      <c r="B872" s="28"/>
      <c r="C872" s="28"/>
      <c r="E872" s="55"/>
      <c r="F872" s="55"/>
      <c r="K872" s="55"/>
      <c r="L872" s="55"/>
    </row>
    <row r="873">
      <c r="B873" s="28"/>
      <c r="C873" s="28"/>
      <c r="E873" s="55"/>
      <c r="F873" s="55"/>
      <c r="K873" s="55"/>
      <c r="L873" s="55"/>
    </row>
    <row r="874">
      <c r="B874" s="28"/>
      <c r="C874" s="28"/>
      <c r="E874" s="55"/>
      <c r="F874" s="55"/>
      <c r="K874" s="55"/>
      <c r="L874" s="55"/>
    </row>
    <row r="875">
      <c r="B875" s="28"/>
      <c r="C875" s="28"/>
      <c r="E875" s="55"/>
      <c r="F875" s="55"/>
      <c r="K875" s="55"/>
      <c r="L875" s="55"/>
    </row>
    <row r="876">
      <c r="B876" s="28"/>
      <c r="C876" s="28"/>
      <c r="E876" s="55"/>
      <c r="F876" s="55"/>
      <c r="K876" s="55"/>
      <c r="L876" s="55"/>
    </row>
    <row r="877">
      <c r="B877" s="28"/>
      <c r="C877" s="28"/>
      <c r="E877" s="55"/>
      <c r="F877" s="55"/>
      <c r="K877" s="55"/>
      <c r="L877" s="55"/>
    </row>
    <row r="878">
      <c r="B878" s="28"/>
      <c r="C878" s="28"/>
      <c r="E878" s="55"/>
      <c r="F878" s="55"/>
      <c r="K878" s="55"/>
      <c r="L878" s="55"/>
    </row>
    <row r="879">
      <c r="B879" s="28"/>
      <c r="C879" s="28"/>
      <c r="E879" s="55"/>
      <c r="F879" s="55"/>
      <c r="K879" s="55"/>
      <c r="L879" s="55"/>
    </row>
    <row r="880">
      <c r="B880" s="28"/>
      <c r="C880" s="28"/>
      <c r="E880" s="55"/>
      <c r="F880" s="55"/>
      <c r="K880" s="55"/>
      <c r="L880" s="55"/>
    </row>
    <row r="881">
      <c r="B881" s="28"/>
      <c r="C881" s="28"/>
      <c r="E881" s="55"/>
      <c r="F881" s="55"/>
      <c r="K881" s="55"/>
      <c r="L881" s="55"/>
    </row>
    <row r="882">
      <c r="B882" s="28"/>
      <c r="C882" s="28"/>
      <c r="E882" s="55"/>
      <c r="F882" s="55"/>
      <c r="K882" s="55"/>
      <c r="L882" s="55"/>
    </row>
    <row r="883">
      <c r="B883" s="28"/>
      <c r="C883" s="28"/>
      <c r="E883" s="55"/>
      <c r="F883" s="55"/>
      <c r="K883" s="55"/>
      <c r="L883" s="55"/>
    </row>
    <row r="884">
      <c r="B884" s="28"/>
      <c r="C884" s="28"/>
      <c r="E884" s="55"/>
      <c r="F884" s="55"/>
      <c r="K884" s="55"/>
      <c r="L884" s="55"/>
    </row>
    <row r="885">
      <c r="B885" s="28"/>
      <c r="C885" s="28"/>
      <c r="E885" s="55"/>
      <c r="F885" s="55"/>
      <c r="K885" s="55"/>
      <c r="L885" s="55"/>
    </row>
    <row r="886">
      <c r="B886" s="28"/>
      <c r="C886" s="28"/>
      <c r="E886" s="55"/>
      <c r="F886" s="55"/>
      <c r="K886" s="55"/>
      <c r="L886" s="55"/>
    </row>
    <row r="887">
      <c r="B887" s="28"/>
      <c r="C887" s="28"/>
      <c r="E887" s="55"/>
      <c r="F887" s="55"/>
      <c r="K887" s="55"/>
      <c r="L887" s="55"/>
    </row>
    <row r="888">
      <c r="B888" s="28"/>
      <c r="C888" s="28"/>
      <c r="E888" s="55"/>
      <c r="F888" s="55"/>
      <c r="K888" s="55"/>
      <c r="L888" s="55"/>
    </row>
    <row r="889">
      <c r="B889" s="28"/>
      <c r="C889" s="28"/>
      <c r="E889" s="55"/>
      <c r="F889" s="55"/>
      <c r="K889" s="55"/>
      <c r="L889" s="55"/>
    </row>
    <row r="890">
      <c r="B890" s="28"/>
      <c r="C890" s="28"/>
      <c r="E890" s="55"/>
      <c r="F890" s="55"/>
      <c r="K890" s="55"/>
      <c r="L890" s="55"/>
    </row>
    <row r="891">
      <c r="B891" s="28"/>
      <c r="C891" s="28"/>
      <c r="E891" s="55"/>
      <c r="F891" s="55"/>
      <c r="K891" s="55"/>
      <c r="L891" s="55"/>
    </row>
    <row r="892">
      <c r="B892" s="28"/>
      <c r="C892" s="28"/>
      <c r="E892" s="55"/>
      <c r="F892" s="55"/>
      <c r="K892" s="55"/>
      <c r="L892" s="55"/>
    </row>
    <row r="893">
      <c r="B893" s="28"/>
      <c r="C893" s="28"/>
      <c r="E893" s="55"/>
      <c r="F893" s="55"/>
      <c r="K893" s="55"/>
      <c r="L893" s="55"/>
    </row>
    <row r="894">
      <c r="B894" s="28"/>
      <c r="C894" s="28"/>
      <c r="E894" s="55"/>
      <c r="F894" s="55"/>
      <c r="K894" s="55"/>
      <c r="L894" s="55"/>
    </row>
    <row r="895">
      <c r="B895" s="28"/>
      <c r="C895" s="28"/>
      <c r="E895" s="55"/>
      <c r="F895" s="55"/>
      <c r="K895" s="55"/>
      <c r="L895" s="55"/>
    </row>
    <row r="896">
      <c r="B896" s="28"/>
      <c r="C896" s="28"/>
      <c r="E896" s="55"/>
      <c r="F896" s="55"/>
      <c r="K896" s="55"/>
      <c r="L896" s="55"/>
    </row>
    <row r="897">
      <c r="B897" s="28"/>
      <c r="C897" s="28"/>
      <c r="E897" s="55"/>
      <c r="F897" s="55"/>
      <c r="K897" s="55"/>
      <c r="L897" s="55"/>
    </row>
    <row r="898">
      <c r="B898" s="28"/>
      <c r="C898" s="28"/>
      <c r="E898" s="55"/>
      <c r="F898" s="55"/>
      <c r="K898" s="55"/>
      <c r="L898" s="55"/>
    </row>
    <row r="899">
      <c r="B899" s="28"/>
      <c r="C899" s="28"/>
      <c r="E899" s="55"/>
      <c r="F899" s="55"/>
      <c r="K899" s="55"/>
      <c r="L899" s="55"/>
    </row>
    <row r="900">
      <c r="B900" s="28"/>
      <c r="C900" s="28"/>
      <c r="E900" s="55"/>
      <c r="F900" s="55"/>
      <c r="K900" s="55"/>
      <c r="L900" s="55"/>
    </row>
    <row r="901">
      <c r="B901" s="28"/>
      <c r="C901" s="28"/>
      <c r="E901" s="55"/>
      <c r="F901" s="55"/>
      <c r="K901" s="55"/>
      <c r="L901" s="55"/>
    </row>
    <row r="902">
      <c r="B902" s="28"/>
      <c r="C902" s="28"/>
      <c r="E902" s="55"/>
      <c r="F902" s="55"/>
      <c r="K902" s="55"/>
      <c r="L902" s="55"/>
    </row>
    <row r="903">
      <c r="B903" s="28"/>
      <c r="C903" s="28"/>
      <c r="E903" s="55"/>
      <c r="F903" s="55"/>
      <c r="K903" s="55"/>
      <c r="L903" s="55"/>
    </row>
    <row r="904">
      <c r="B904" s="28"/>
      <c r="C904" s="28"/>
      <c r="E904" s="55"/>
      <c r="F904" s="55"/>
      <c r="K904" s="55"/>
      <c r="L904" s="55"/>
    </row>
    <row r="905">
      <c r="B905" s="28"/>
      <c r="C905" s="28"/>
      <c r="E905" s="55"/>
      <c r="F905" s="55"/>
      <c r="K905" s="55"/>
      <c r="L905" s="55"/>
    </row>
    <row r="906">
      <c r="B906" s="28"/>
      <c r="C906" s="28"/>
      <c r="E906" s="55"/>
      <c r="F906" s="55"/>
      <c r="K906" s="55"/>
      <c r="L906" s="55"/>
    </row>
    <row r="907">
      <c r="B907" s="28"/>
      <c r="C907" s="28"/>
      <c r="E907" s="55"/>
      <c r="F907" s="55"/>
      <c r="K907" s="55"/>
      <c r="L907" s="55"/>
    </row>
    <row r="908">
      <c r="B908" s="28"/>
      <c r="C908" s="28"/>
      <c r="E908" s="55"/>
      <c r="F908" s="55"/>
      <c r="K908" s="55"/>
      <c r="L908" s="55"/>
    </row>
    <row r="909">
      <c r="B909" s="28"/>
      <c r="C909" s="28"/>
      <c r="E909" s="55"/>
      <c r="F909" s="55"/>
      <c r="K909" s="55"/>
      <c r="L909" s="55"/>
    </row>
    <row r="910">
      <c r="B910" s="28"/>
      <c r="C910" s="28"/>
      <c r="E910" s="55"/>
      <c r="F910" s="55"/>
      <c r="K910" s="55"/>
      <c r="L910" s="55"/>
    </row>
    <row r="911">
      <c r="B911" s="28"/>
      <c r="C911" s="28"/>
      <c r="E911" s="55"/>
      <c r="F911" s="55"/>
      <c r="K911" s="55"/>
      <c r="L911" s="55"/>
    </row>
    <row r="912">
      <c r="B912" s="28"/>
      <c r="C912" s="28"/>
      <c r="E912" s="55"/>
      <c r="F912" s="55"/>
      <c r="K912" s="55"/>
      <c r="L912" s="55"/>
    </row>
    <row r="913">
      <c r="B913" s="28"/>
      <c r="C913" s="28"/>
      <c r="E913" s="55"/>
      <c r="F913" s="55"/>
      <c r="K913" s="55"/>
      <c r="L913" s="55"/>
    </row>
    <row r="914">
      <c r="B914" s="28"/>
      <c r="C914" s="28"/>
      <c r="E914" s="55"/>
      <c r="F914" s="55"/>
      <c r="K914" s="55"/>
      <c r="L914" s="55"/>
    </row>
    <row r="915">
      <c r="B915" s="28"/>
      <c r="C915" s="28"/>
      <c r="E915" s="55"/>
      <c r="F915" s="55"/>
      <c r="K915" s="55"/>
      <c r="L915" s="55"/>
    </row>
    <row r="916">
      <c r="B916" s="28"/>
      <c r="C916" s="28"/>
      <c r="E916" s="55"/>
      <c r="F916" s="55"/>
      <c r="K916" s="55"/>
      <c r="L916" s="55"/>
    </row>
    <row r="917">
      <c r="B917" s="28"/>
      <c r="C917" s="28"/>
      <c r="E917" s="55"/>
      <c r="F917" s="55"/>
      <c r="K917" s="55"/>
      <c r="L917" s="55"/>
    </row>
    <row r="918">
      <c r="B918" s="28"/>
      <c r="C918" s="28"/>
      <c r="E918" s="55"/>
      <c r="F918" s="55"/>
      <c r="K918" s="55"/>
      <c r="L918" s="55"/>
    </row>
    <row r="919">
      <c r="B919" s="28"/>
      <c r="C919" s="28"/>
      <c r="E919" s="55"/>
      <c r="F919" s="55"/>
      <c r="K919" s="55"/>
      <c r="L919" s="55"/>
    </row>
    <row r="920">
      <c r="B920" s="28"/>
      <c r="C920" s="28"/>
      <c r="E920" s="55"/>
      <c r="F920" s="55"/>
      <c r="K920" s="55"/>
      <c r="L920" s="55"/>
    </row>
    <row r="921">
      <c r="B921" s="28"/>
      <c r="C921" s="28"/>
      <c r="E921" s="55"/>
      <c r="F921" s="55"/>
      <c r="K921" s="55"/>
      <c r="L921" s="55"/>
    </row>
    <row r="922">
      <c r="B922" s="28"/>
      <c r="C922" s="28"/>
      <c r="E922" s="55"/>
      <c r="F922" s="55"/>
      <c r="K922" s="55"/>
      <c r="L922" s="55"/>
    </row>
    <row r="923">
      <c r="B923" s="28"/>
      <c r="C923" s="28"/>
      <c r="E923" s="55"/>
      <c r="F923" s="55"/>
      <c r="K923" s="55"/>
      <c r="L923" s="55"/>
    </row>
    <row r="924">
      <c r="B924" s="28"/>
      <c r="C924" s="28"/>
      <c r="E924" s="55"/>
      <c r="F924" s="55"/>
      <c r="K924" s="55"/>
      <c r="L924" s="55"/>
    </row>
    <row r="925">
      <c r="B925" s="28"/>
      <c r="C925" s="28"/>
      <c r="E925" s="55"/>
      <c r="F925" s="55"/>
      <c r="K925" s="55"/>
      <c r="L925" s="55"/>
    </row>
    <row r="926">
      <c r="B926" s="28"/>
      <c r="C926" s="28"/>
      <c r="E926" s="55"/>
      <c r="F926" s="55"/>
      <c r="K926" s="55"/>
      <c r="L926" s="55"/>
    </row>
    <row r="927">
      <c r="B927" s="28"/>
      <c r="C927" s="28"/>
      <c r="E927" s="55"/>
      <c r="F927" s="55"/>
      <c r="K927" s="55"/>
      <c r="L927" s="55"/>
    </row>
    <row r="928">
      <c r="B928" s="28"/>
      <c r="C928" s="28"/>
      <c r="E928" s="55"/>
      <c r="F928" s="55"/>
      <c r="K928" s="55"/>
      <c r="L928" s="55"/>
    </row>
    <row r="929">
      <c r="B929" s="28"/>
      <c r="C929" s="28"/>
      <c r="E929" s="55"/>
      <c r="F929" s="55"/>
      <c r="K929" s="55"/>
      <c r="L929" s="55"/>
    </row>
    <row r="930">
      <c r="B930" s="28"/>
      <c r="C930" s="28"/>
      <c r="E930" s="55"/>
      <c r="F930" s="55"/>
      <c r="K930" s="55"/>
      <c r="L930" s="55"/>
    </row>
    <row r="931">
      <c r="B931" s="28"/>
      <c r="C931" s="28"/>
      <c r="E931" s="55"/>
      <c r="F931" s="55"/>
      <c r="K931" s="55"/>
      <c r="L931" s="55"/>
    </row>
    <row r="932">
      <c r="B932" s="28"/>
      <c r="C932" s="28"/>
      <c r="E932" s="55"/>
      <c r="F932" s="55"/>
      <c r="K932" s="55"/>
      <c r="L932" s="55"/>
    </row>
    <row r="933">
      <c r="B933" s="28"/>
      <c r="C933" s="28"/>
      <c r="E933" s="55"/>
      <c r="F933" s="55"/>
      <c r="K933" s="55"/>
      <c r="L933" s="55"/>
    </row>
    <row r="934">
      <c r="B934" s="28"/>
      <c r="C934" s="28"/>
      <c r="E934" s="55"/>
      <c r="F934" s="55"/>
      <c r="K934" s="55"/>
      <c r="L934" s="55"/>
    </row>
    <row r="935">
      <c r="B935" s="28"/>
      <c r="C935" s="28"/>
      <c r="E935" s="55"/>
      <c r="F935" s="55"/>
      <c r="K935" s="55"/>
      <c r="L935" s="55"/>
    </row>
    <row r="936">
      <c r="B936" s="28"/>
      <c r="C936" s="28"/>
      <c r="E936" s="55"/>
      <c r="F936" s="55"/>
      <c r="K936" s="55"/>
      <c r="L936" s="55"/>
    </row>
    <row r="937">
      <c r="B937" s="28"/>
      <c r="C937" s="28"/>
      <c r="E937" s="55"/>
      <c r="F937" s="55"/>
      <c r="K937" s="55"/>
      <c r="L937" s="55"/>
    </row>
    <row r="938">
      <c r="B938" s="28"/>
      <c r="C938" s="28"/>
      <c r="E938" s="55"/>
      <c r="F938" s="55"/>
      <c r="K938" s="55"/>
      <c r="L938" s="55"/>
    </row>
    <row r="939">
      <c r="B939" s="28"/>
      <c r="C939" s="28"/>
      <c r="E939" s="55"/>
      <c r="F939" s="55"/>
      <c r="K939" s="55"/>
      <c r="L939" s="55"/>
    </row>
    <row r="940">
      <c r="B940" s="28"/>
      <c r="C940" s="28"/>
      <c r="E940" s="55"/>
      <c r="F940" s="55"/>
      <c r="K940" s="55"/>
      <c r="L940" s="55"/>
    </row>
    <row r="941">
      <c r="B941" s="28"/>
      <c r="C941" s="28"/>
      <c r="E941" s="55"/>
      <c r="F941" s="55"/>
      <c r="K941" s="55"/>
      <c r="L941" s="55"/>
    </row>
    <row r="942">
      <c r="B942" s="28"/>
      <c r="C942" s="28"/>
      <c r="E942" s="55"/>
      <c r="F942" s="55"/>
      <c r="K942" s="55"/>
      <c r="L942" s="55"/>
    </row>
    <row r="943">
      <c r="B943" s="28"/>
      <c r="C943" s="28"/>
      <c r="E943" s="55"/>
      <c r="F943" s="55"/>
      <c r="K943" s="55"/>
      <c r="L943" s="55"/>
    </row>
    <row r="944">
      <c r="B944" s="28"/>
      <c r="C944" s="28"/>
      <c r="E944" s="55"/>
      <c r="F944" s="55"/>
      <c r="K944" s="55"/>
      <c r="L944" s="55"/>
    </row>
    <row r="945">
      <c r="B945" s="28"/>
      <c r="C945" s="28"/>
      <c r="E945" s="55"/>
      <c r="F945" s="55"/>
      <c r="K945" s="55"/>
      <c r="L945" s="55"/>
    </row>
    <row r="946">
      <c r="B946" s="28"/>
      <c r="C946" s="28"/>
      <c r="E946" s="55"/>
      <c r="F946" s="55"/>
      <c r="K946" s="55"/>
      <c r="L946" s="55"/>
    </row>
    <row r="947">
      <c r="B947" s="28"/>
      <c r="C947" s="28"/>
      <c r="E947" s="55"/>
      <c r="F947" s="55"/>
      <c r="K947" s="55"/>
      <c r="L947" s="55"/>
    </row>
    <row r="948">
      <c r="B948" s="28"/>
      <c r="C948" s="28"/>
      <c r="E948" s="55"/>
      <c r="F948" s="55"/>
      <c r="K948" s="55"/>
      <c r="L948" s="55"/>
    </row>
    <row r="949">
      <c r="B949" s="28"/>
      <c r="C949" s="28"/>
      <c r="E949" s="55"/>
      <c r="F949" s="55"/>
      <c r="K949" s="55"/>
      <c r="L949" s="55"/>
    </row>
    <row r="950">
      <c r="B950" s="28"/>
      <c r="C950" s="28"/>
      <c r="E950" s="55"/>
      <c r="F950" s="55"/>
      <c r="K950" s="55"/>
      <c r="L950" s="55"/>
    </row>
    <row r="951">
      <c r="B951" s="28"/>
      <c r="C951" s="28"/>
      <c r="E951" s="55"/>
      <c r="F951" s="55"/>
      <c r="K951" s="55"/>
      <c r="L951" s="55"/>
    </row>
    <row r="952">
      <c r="B952" s="28"/>
      <c r="C952" s="28"/>
      <c r="E952" s="55"/>
      <c r="F952" s="55"/>
      <c r="K952" s="55"/>
      <c r="L952" s="55"/>
    </row>
    <row r="953">
      <c r="B953" s="28"/>
      <c r="C953" s="28"/>
      <c r="E953" s="55"/>
      <c r="F953" s="55"/>
      <c r="K953" s="55"/>
      <c r="L953" s="55"/>
    </row>
    <row r="954">
      <c r="B954" s="28"/>
      <c r="C954" s="28"/>
      <c r="E954" s="55"/>
      <c r="F954" s="55"/>
      <c r="K954" s="55"/>
      <c r="L954" s="55"/>
    </row>
    <row r="955">
      <c r="B955" s="28"/>
      <c r="C955" s="28"/>
      <c r="E955" s="55"/>
      <c r="F955" s="55"/>
      <c r="K955" s="55"/>
      <c r="L955" s="55"/>
    </row>
    <row r="956">
      <c r="B956" s="28"/>
      <c r="C956" s="28"/>
      <c r="E956" s="55"/>
      <c r="F956" s="55"/>
      <c r="K956" s="55"/>
      <c r="L956" s="55"/>
    </row>
    <row r="957">
      <c r="B957" s="28"/>
      <c r="C957" s="28"/>
      <c r="E957" s="55"/>
      <c r="F957" s="55"/>
      <c r="K957" s="55"/>
      <c r="L957" s="55"/>
    </row>
    <row r="958">
      <c r="B958" s="28"/>
      <c r="C958" s="28"/>
      <c r="E958" s="55"/>
      <c r="F958" s="55"/>
      <c r="K958" s="55"/>
      <c r="L958" s="55"/>
    </row>
    <row r="959">
      <c r="B959" s="28"/>
      <c r="C959" s="28"/>
      <c r="E959" s="55"/>
      <c r="F959" s="55"/>
      <c r="K959" s="55"/>
      <c r="L959" s="55"/>
    </row>
    <row r="960">
      <c r="B960" s="28"/>
      <c r="C960" s="28"/>
      <c r="E960" s="55"/>
      <c r="F960" s="55"/>
      <c r="K960" s="55"/>
      <c r="L960" s="55"/>
    </row>
    <row r="961">
      <c r="B961" s="28"/>
      <c r="C961" s="28"/>
      <c r="E961" s="55"/>
      <c r="F961" s="55"/>
      <c r="K961" s="55"/>
      <c r="L961" s="55"/>
    </row>
    <row r="962">
      <c r="B962" s="28"/>
      <c r="C962" s="28"/>
      <c r="E962" s="55"/>
      <c r="F962" s="55"/>
      <c r="K962" s="55"/>
      <c r="L962" s="55"/>
    </row>
    <row r="963">
      <c r="B963" s="28"/>
      <c r="C963" s="28"/>
      <c r="E963" s="55"/>
      <c r="F963" s="55"/>
      <c r="K963" s="55"/>
      <c r="L963" s="55"/>
    </row>
    <row r="964">
      <c r="B964" s="28"/>
      <c r="C964" s="28"/>
      <c r="E964" s="55"/>
      <c r="F964" s="55"/>
      <c r="K964" s="55"/>
      <c r="L964" s="55"/>
    </row>
    <row r="965">
      <c r="B965" s="28"/>
      <c r="C965" s="28"/>
      <c r="E965" s="55"/>
      <c r="F965" s="55"/>
      <c r="K965" s="55"/>
      <c r="L965" s="55"/>
    </row>
    <row r="966">
      <c r="B966" s="28"/>
      <c r="C966" s="28"/>
      <c r="E966" s="55"/>
      <c r="F966" s="55"/>
      <c r="K966" s="55"/>
      <c r="L966" s="55"/>
    </row>
    <row r="967">
      <c r="B967" s="28"/>
      <c r="C967" s="28"/>
      <c r="E967" s="55"/>
      <c r="F967" s="55"/>
      <c r="K967" s="55"/>
      <c r="L967" s="55"/>
    </row>
    <row r="968">
      <c r="B968" s="28"/>
      <c r="C968" s="28"/>
      <c r="E968" s="55"/>
      <c r="F968" s="55"/>
      <c r="K968" s="55"/>
      <c r="L968" s="55"/>
    </row>
    <row r="969">
      <c r="B969" s="28"/>
      <c r="C969" s="28"/>
      <c r="E969" s="55"/>
      <c r="F969" s="55"/>
      <c r="K969" s="55"/>
      <c r="L969" s="55"/>
    </row>
    <row r="970">
      <c r="B970" s="28"/>
      <c r="C970" s="28"/>
      <c r="E970" s="55"/>
      <c r="F970" s="55"/>
      <c r="K970" s="55"/>
      <c r="L970" s="55"/>
    </row>
    <row r="971">
      <c r="B971" s="28"/>
      <c r="C971" s="28"/>
      <c r="E971" s="55"/>
      <c r="F971" s="55"/>
      <c r="K971" s="55"/>
      <c r="L971" s="55"/>
    </row>
    <row r="972">
      <c r="B972" s="28"/>
      <c r="C972" s="28"/>
      <c r="E972" s="55"/>
      <c r="F972" s="55"/>
      <c r="K972" s="55"/>
      <c r="L972" s="55"/>
    </row>
    <row r="973">
      <c r="B973" s="28"/>
      <c r="C973" s="28"/>
      <c r="E973" s="55"/>
      <c r="F973" s="55"/>
      <c r="K973" s="55"/>
      <c r="L973" s="55"/>
    </row>
    <row r="974">
      <c r="B974" s="28"/>
      <c r="C974" s="28"/>
      <c r="E974" s="55"/>
      <c r="F974" s="55"/>
      <c r="K974" s="55"/>
      <c r="L974" s="55"/>
    </row>
    <row r="975">
      <c r="B975" s="28"/>
      <c r="C975" s="28"/>
      <c r="E975" s="55"/>
      <c r="F975" s="55"/>
      <c r="K975" s="55"/>
      <c r="L975" s="55"/>
    </row>
    <row r="976">
      <c r="B976" s="28"/>
      <c r="C976" s="28"/>
      <c r="E976" s="55"/>
      <c r="F976" s="55"/>
      <c r="K976" s="55"/>
      <c r="L976" s="55"/>
    </row>
    <row r="977">
      <c r="B977" s="28"/>
      <c r="C977" s="28"/>
      <c r="E977" s="55"/>
      <c r="F977" s="55"/>
      <c r="K977" s="55"/>
      <c r="L977" s="55"/>
    </row>
    <row r="978">
      <c r="B978" s="28"/>
      <c r="C978" s="28"/>
      <c r="E978" s="55"/>
      <c r="F978" s="55"/>
      <c r="K978" s="55"/>
      <c r="L978" s="55"/>
    </row>
    <row r="979">
      <c r="B979" s="28"/>
      <c r="C979" s="28"/>
      <c r="E979" s="55"/>
      <c r="F979" s="55"/>
      <c r="K979" s="55"/>
      <c r="L979" s="55"/>
    </row>
    <row r="980">
      <c r="B980" s="28"/>
      <c r="C980" s="28"/>
      <c r="E980" s="55"/>
      <c r="F980" s="55"/>
      <c r="K980" s="55"/>
      <c r="L980" s="55"/>
    </row>
    <row r="981">
      <c r="B981" s="28"/>
      <c r="C981" s="28"/>
      <c r="E981" s="55"/>
      <c r="F981" s="55"/>
      <c r="K981" s="55"/>
      <c r="L981" s="55"/>
    </row>
    <row r="982">
      <c r="B982" s="28"/>
      <c r="C982" s="28"/>
      <c r="E982" s="55"/>
      <c r="F982" s="55"/>
      <c r="K982" s="55"/>
      <c r="L982" s="55"/>
    </row>
    <row r="983">
      <c r="B983" s="28"/>
      <c r="C983" s="28"/>
      <c r="E983" s="55"/>
      <c r="F983" s="55"/>
      <c r="K983" s="55"/>
      <c r="L983" s="55"/>
    </row>
    <row r="984">
      <c r="B984" s="28"/>
      <c r="C984" s="28"/>
      <c r="E984" s="55"/>
      <c r="F984" s="55"/>
      <c r="K984" s="55"/>
      <c r="L984" s="55"/>
    </row>
    <row r="985">
      <c r="B985" s="28"/>
      <c r="C985" s="28"/>
      <c r="E985" s="55"/>
      <c r="F985" s="55"/>
      <c r="K985" s="55"/>
      <c r="L985" s="55"/>
    </row>
    <row r="986">
      <c r="B986" s="28"/>
      <c r="C986" s="28"/>
      <c r="E986" s="55"/>
      <c r="F986" s="55"/>
      <c r="K986" s="55"/>
      <c r="L986" s="55"/>
    </row>
    <row r="987">
      <c r="B987" s="28"/>
      <c r="C987" s="28"/>
      <c r="E987" s="55"/>
      <c r="F987" s="55"/>
      <c r="K987" s="55"/>
      <c r="L987" s="55"/>
    </row>
    <row r="988">
      <c r="B988" s="28"/>
      <c r="C988" s="28"/>
      <c r="E988" s="55"/>
      <c r="F988" s="55"/>
      <c r="K988" s="55"/>
      <c r="L988" s="55"/>
    </row>
    <row r="989">
      <c r="B989" s="28"/>
      <c r="C989" s="28"/>
      <c r="E989" s="55"/>
      <c r="F989" s="55"/>
      <c r="K989" s="55"/>
      <c r="L989" s="55"/>
    </row>
    <row r="990">
      <c r="B990" s="28"/>
      <c r="C990" s="28"/>
      <c r="E990" s="55"/>
      <c r="F990" s="55"/>
      <c r="K990" s="55"/>
      <c r="L990" s="55"/>
    </row>
    <row r="991">
      <c r="B991" s="28"/>
      <c r="C991" s="28"/>
      <c r="E991" s="55"/>
      <c r="F991" s="55"/>
      <c r="K991" s="55"/>
      <c r="L991" s="55"/>
    </row>
    <row r="992">
      <c r="B992" s="28"/>
      <c r="C992" s="28"/>
      <c r="E992" s="55"/>
      <c r="F992" s="55"/>
      <c r="K992" s="55"/>
      <c r="L992" s="55"/>
    </row>
    <row r="993">
      <c r="B993" s="28"/>
      <c r="C993" s="28"/>
      <c r="E993" s="55"/>
      <c r="F993" s="55"/>
      <c r="K993" s="55"/>
      <c r="L993" s="55"/>
    </row>
    <row r="994">
      <c r="B994" s="28"/>
      <c r="C994" s="28"/>
      <c r="E994" s="55"/>
      <c r="F994" s="55"/>
      <c r="K994" s="55"/>
      <c r="L994" s="55"/>
    </row>
    <row r="995">
      <c r="B995" s="28"/>
      <c r="C995" s="28"/>
      <c r="E995" s="55"/>
      <c r="F995" s="55"/>
      <c r="K995" s="55"/>
      <c r="L995" s="55"/>
    </row>
    <row r="996">
      <c r="B996" s="28"/>
      <c r="C996" s="28"/>
      <c r="E996" s="55"/>
      <c r="F996" s="55"/>
      <c r="K996" s="55"/>
      <c r="L996" s="55"/>
    </row>
    <row r="997">
      <c r="B997" s="28"/>
      <c r="C997" s="28"/>
      <c r="E997" s="55"/>
      <c r="F997" s="55"/>
      <c r="K997" s="55"/>
      <c r="L997" s="55"/>
    </row>
    <row r="998">
      <c r="B998" s="28"/>
      <c r="C998" s="28"/>
      <c r="E998" s="55"/>
      <c r="F998" s="55"/>
      <c r="K998" s="55"/>
      <c r="L998" s="55"/>
    </row>
    <row r="999">
      <c r="B999" s="28"/>
      <c r="C999" s="28"/>
      <c r="E999" s="55"/>
      <c r="F999" s="55"/>
      <c r="K999" s="55"/>
      <c r="L999" s="55"/>
    </row>
    <row r="1000">
      <c r="B1000" s="28"/>
      <c r="C1000" s="28"/>
      <c r="E1000" s="55"/>
      <c r="F1000" s="55"/>
      <c r="K1000" s="55"/>
      <c r="L1000" s="55"/>
    </row>
    <row r="1001">
      <c r="B1001" s="28"/>
      <c r="C1001" s="28"/>
      <c r="E1001" s="55"/>
      <c r="F1001" s="55"/>
      <c r="K1001" s="55"/>
      <c r="L1001" s="55"/>
    </row>
    <row r="1002">
      <c r="B1002" s="28"/>
      <c r="C1002" s="28"/>
      <c r="E1002" s="55"/>
      <c r="F1002" s="55"/>
      <c r="K1002" s="55"/>
      <c r="L1002" s="55"/>
    </row>
    <row r="1003">
      <c r="B1003" s="28"/>
      <c r="C1003" s="28"/>
      <c r="E1003" s="55"/>
      <c r="F1003" s="55"/>
      <c r="K1003" s="55"/>
      <c r="L1003" s="55"/>
    </row>
    <row r="1004">
      <c r="B1004" s="28"/>
      <c r="C1004" s="28"/>
      <c r="E1004" s="55"/>
      <c r="F1004" s="55"/>
      <c r="K1004" s="55"/>
      <c r="L1004" s="55"/>
    </row>
    <row r="1005">
      <c r="B1005" s="28"/>
      <c r="C1005" s="28"/>
      <c r="E1005" s="55"/>
      <c r="F1005" s="55"/>
      <c r="K1005" s="55"/>
      <c r="L1005" s="55"/>
    </row>
    <row r="1006">
      <c r="B1006" s="28"/>
      <c r="C1006" s="28"/>
      <c r="E1006" s="55"/>
      <c r="F1006" s="55"/>
      <c r="K1006" s="55"/>
      <c r="L1006" s="55"/>
    </row>
    <row r="1007">
      <c r="B1007" s="28"/>
      <c r="C1007" s="28"/>
      <c r="E1007" s="55"/>
      <c r="F1007" s="55"/>
      <c r="K1007" s="55"/>
      <c r="L1007" s="55"/>
    </row>
    <row r="1008">
      <c r="B1008" s="28"/>
      <c r="C1008" s="28"/>
      <c r="E1008" s="55"/>
      <c r="F1008" s="55"/>
      <c r="K1008" s="55"/>
      <c r="L1008" s="55"/>
    </row>
    <row r="1009">
      <c r="B1009" s="28"/>
      <c r="C1009" s="28"/>
      <c r="E1009" s="55"/>
      <c r="F1009" s="55"/>
      <c r="K1009" s="55"/>
      <c r="L1009" s="55"/>
    </row>
    <row r="1010">
      <c r="B1010" s="28"/>
      <c r="C1010" s="28"/>
      <c r="E1010" s="55"/>
      <c r="F1010" s="55"/>
      <c r="K1010" s="55"/>
      <c r="L1010" s="55"/>
    </row>
    <row r="1011">
      <c r="B1011" s="28"/>
      <c r="C1011" s="28"/>
      <c r="E1011" s="55"/>
      <c r="F1011" s="55"/>
      <c r="K1011" s="55"/>
      <c r="L1011" s="55"/>
    </row>
    <row r="1012">
      <c r="B1012" s="28"/>
      <c r="C1012" s="28"/>
      <c r="E1012" s="55"/>
      <c r="F1012" s="55"/>
      <c r="K1012" s="55"/>
      <c r="L1012" s="55"/>
    </row>
    <row r="1013">
      <c r="B1013" s="28"/>
      <c r="C1013" s="28"/>
      <c r="E1013" s="55"/>
      <c r="F1013" s="55"/>
      <c r="K1013" s="55"/>
      <c r="L1013" s="55"/>
    </row>
    <row r="1014">
      <c r="B1014" s="28"/>
      <c r="C1014" s="28"/>
      <c r="E1014" s="55"/>
      <c r="F1014" s="55"/>
      <c r="K1014" s="55"/>
      <c r="L1014" s="55"/>
    </row>
    <row r="1015">
      <c r="B1015" s="28"/>
      <c r="C1015" s="28"/>
      <c r="E1015" s="55"/>
      <c r="F1015" s="55"/>
      <c r="K1015" s="55"/>
      <c r="L1015" s="55"/>
    </row>
    <row r="1016">
      <c r="B1016" s="28"/>
      <c r="C1016" s="28"/>
      <c r="E1016" s="55"/>
      <c r="F1016" s="55"/>
      <c r="K1016" s="55"/>
      <c r="L1016" s="55"/>
    </row>
    <row r="1017">
      <c r="B1017" s="28"/>
      <c r="C1017" s="28"/>
      <c r="E1017" s="55"/>
      <c r="F1017" s="55"/>
      <c r="K1017" s="55"/>
      <c r="L1017" s="55"/>
    </row>
    <row r="1018">
      <c r="B1018" s="28"/>
      <c r="C1018" s="28"/>
      <c r="E1018" s="55"/>
      <c r="F1018" s="55"/>
      <c r="K1018" s="55"/>
      <c r="L1018" s="55"/>
    </row>
    <row r="1019">
      <c r="B1019" s="28"/>
      <c r="C1019" s="28"/>
      <c r="E1019" s="55"/>
      <c r="F1019" s="55"/>
      <c r="K1019" s="55"/>
      <c r="L1019" s="55"/>
    </row>
    <row r="1020">
      <c r="B1020" s="28"/>
      <c r="C1020" s="28"/>
      <c r="E1020" s="55"/>
      <c r="F1020" s="55"/>
      <c r="K1020" s="55"/>
      <c r="L1020" s="55"/>
    </row>
    <row r="1021">
      <c r="B1021" s="28"/>
      <c r="C1021" s="28"/>
      <c r="E1021" s="55"/>
      <c r="F1021" s="55"/>
      <c r="K1021" s="55"/>
      <c r="L1021" s="55"/>
    </row>
    <row r="1022">
      <c r="B1022" s="28"/>
      <c r="C1022" s="28"/>
      <c r="E1022" s="55"/>
      <c r="F1022" s="55"/>
      <c r="K1022" s="55"/>
      <c r="L1022" s="55"/>
    </row>
    <row r="1023">
      <c r="B1023" s="28"/>
      <c r="C1023" s="28"/>
      <c r="E1023" s="55"/>
      <c r="F1023" s="55"/>
      <c r="K1023" s="55"/>
      <c r="L1023" s="55"/>
    </row>
    <row r="1024">
      <c r="B1024" s="28"/>
      <c r="C1024" s="28"/>
      <c r="E1024" s="55"/>
      <c r="F1024" s="55"/>
      <c r="K1024" s="55"/>
      <c r="L1024" s="55"/>
    </row>
    <row r="1025">
      <c r="B1025" s="28"/>
      <c r="C1025" s="28"/>
      <c r="E1025" s="55"/>
      <c r="F1025" s="55"/>
      <c r="K1025" s="55"/>
      <c r="L1025" s="55"/>
    </row>
    <row r="1026">
      <c r="B1026" s="28"/>
      <c r="C1026" s="28"/>
      <c r="E1026" s="55"/>
      <c r="F1026" s="55"/>
      <c r="K1026" s="55"/>
      <c r="L1026" s="55"/>
    </row>
    <row r="1027">
      <c r="B1027" s="28"/>
      <c r="C1027" s="28"/>
      <c r="E1027" s="55"/>
      <c r="F1027" s="55"/>
      <c r="K1027" s="55"/>
      <c r="L1027" s="55"/>
    </row>
    <row r="1028">
      <c r="B1028" s="28"/>
      <c r="C1028" s="28"/>
      <c r="E1028" s="55"/>
      <c r="F1028" s="55"/>
      <c r="K1028" s="55"/>
      <c r="L1028" s="55"/>
    </row>
    <row r="1029">
      <c r="B1029" s="28"/>
      <c r="C1029" s="28"/>
      <c r="E1029" s="55"/>
      <c r="F1029" s="55"/>
      <c r="K1029" s="55"/>
      <c r="L1029" s="55"/>
    </row>
    <row r="1030">
      <c r="B1030" s="28"/>
      <c r="C1030" s="28"/>
      <c r="E1030" s="55"/>
      <c r="F1030" s="55"/>
      <c r="K1030" s="55"/>
      <c r="L1030" s="55"/>
    </row>
    <row r="1031">
      <c r="B1031" s="28"/>
      <c r="C1031" s="28"/>
      <c r="E1031" s="55"/>
      <c r="F1031" s="55"/>
      <c r="K1031" s="55"/>
      <c r="L1031" s="55"/>
    </row>
    <row r="1032">
      <c r="B1032" s="28"/>
      <c r="C1032" s="28"/>
      <c r="E1032" s="55"/>
      <c r="F1032" s="55"/>
      <c r="K1032" s="55"/>
      <c r="L1032" s="55"/>
    </row>
    <row r="1033">
      <c r="B1033" s="28"/>
      <c r="C1033" s="28"/>
      <c r="E1033" s="55"/>
      <c r="F1033" s="55"/>
      <c r="K1033" s="55"/>
      <c r="L1033" s="55"/>
    </row>
    <row r="1034">
      <c r="B1034" s="28"/>
      <c r="C1034" s="28"/>
      <c r="E1034" s="55"/>
      <c r="F1034" s="55"/>
      <c r="K1034" s="55"/>
      <c r="L1034" s="55"/>
    </row>
    <row r="1035">
      <c r="B1035" s="28"/>
      <c r="C1035" s="28"/>
      <c r="E1035" s="55"/>
      <c r="F1035" s="55"/>
      <c r="K1035" s="55"/>
      <c r="L1035" s="55"/>
    </row>
    <row r="1036">
      <c r="B1036" s="28"/>
      <c r="C1036" s="28"/>
      <c r="E1036" s="55"/>
      <c r="F1036" s="55"/>
      <c r="K1036" s="55"/>
      <c r="L1036" s="55"/>
    </row>
    <row r="1037">
      <c r="B1037" s="28"/>
      <c r="C1037" s="28"/>
      <c r="E1037" s="55"/>
      <c r="F1037" s="55"/>
      <c r="K1037" s="55"/>
      <c r="L1037" s="55"/>
    </row>
    <row r="1038">
      <c r="B1038" s="28"/>
      <c r="C1038" s="28"/>
      <c r="E1038" s="55"/>
      <c r="F1038" s="55"/>
      <c r="K1038" s="55"/>
      <c r="L1038" s="55"/>
    </row>
  </sheetData>
  <mergeCells count="5">
    <mergeCell ref="A1:C1"/>
    <mergeCell ref="A2:C2"/>
    <mergeCell ref="A3:C3"/>
    <mergeCell ref="D4:H4"/>
    <mergeCell ref="J4:N4"/>
  </mergeCells>
  <hyperlinks>
    <hyperlink r:id="rId2" ref="G6"/>
    <hyperlink r:id="rId3" ref="M6"/>
  </hyperlinks>
  <drawing r:id="rId4"/>
  <legacyDrawing r:id="rId5"/>
</worksheet>
</file>